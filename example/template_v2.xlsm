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!Programs\MenuFilesGen-main\MenuFilesGen\bin\Debug\"/>
    </mc:Choice>
  </mc:AlternateContent>
  <bookViews>
    <workbookView xWindow="-36510" yWindow="1050" windowWidth="35475" windowHeight="15555"/>
  </bookViews>
  <sheets>
    <sheet name="Надстройки" sheetId="18" r:id="rId1"/>
    <sheet name="Надстройки (2)" sheetId="20" r:id="rId2"/>
    <sheet name="Надстройки_bak" sheetId="19" r:id="rId3"/>
    <sheet name="Enum" sheetId="11" r:id="rId4"/>
    <sheet name="Команды" sheetId="8" r:id="rId5"/>
    <sheet name="Обязательные" sheetId="15" r:id="rId6"/>
    <sheet name="Необязательные" sheetId="16" r:id="rId7"/>
    <sheet name="BlockFix+TBS" sheetId="1" r:id="rId8"/>
    <sheet name="ColumnNumbers" sheetId="13" r:id="rId9"/>
    <sheet name="cmd" sheetId="12" r:id="rId10"/>
  </sheets>
  <functionGroups builtInGroupCount="18"/>
  <externalReferences>
    <externalReference r:id="rId11"/>
  </externalReferences>
  <definedNames>
    <definedName name="_xlnm._FilterDatabase" localSheetId="7" hidden="1">'BlockFix+TBS'!$A$1:$D$145</definedName>
    <definedName name="_xlnm._FilterDatabase" localSheetId="4" hidden="1">Команды!$A$1:$D$5</definedName>
    <definedName name="_xlnm._FilterDatabase" localSheetId="0" hidden="1">Надстройки!$A$3:$C$17</definedName>
    <definedName name="_xlnm._FilterDatabase" localSheetId="1" hidden="1">'Надстройки (2)'!$A$3:$C$16</definedName>
    <definedName name="_xlnm._FilterDatabase" localSheetId="2" hidden="1">Надстройки_bak!$A$3:$C$20</definedName>
    <definedName name="Z_268A1621_21C3_44E3_A6D6_DD54E8D7B9D5_.wvu.FilterData" localSheetId="7" hidden="1">'BlockFix+TBS'!$G$1:$G$145</definedName>
    <definedName name="Z_268A1621_21C3_44E3_A6D6_DD54E8D7B9D5_.wvu.FilterData" localSheetId="4" hidden="1">Команды!$G$1:$G$5</definedName>
    <definedName name="Z_268A1621_21C3_44E3_A6D6_DD54E8D7B9D5_.wvu.FilterData" localSheetId="0" hidden="1">Надстройки!$R$3:$R$17</definedName>
    <definedName name="Z_268A1621_21C3_44E3_A6D6_DD54E8D7B9D5_.wvu.FilterData" localSheetId="1" hidden="1">'Надстройки (2)'!$R$3:$R$16</definedName>
    <definedName name="Z_268A1621_21C3_44E3_A6D6_DD54E8D7B9D5_.wvu.FilterData" localSheetId="2" hidden="1">Надстройки_bak!$R$3:$R$20</definedName>
  </definedNames>
  <calcPr calcId="152511"/>
  <customWorkbookViews>
    <customWorkbookView name="Фильтр 1" guid="{268A1621-21C3-44E3-A6D6-DD54E8D7B9D5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2" roundtripDataChecksum="iGqAdTROsJnQ6iFaEtisVrkruEVPi9qXaT2NRx+sbl4="/>
    </ext>
  </extLst>
</workbook>
</file>

<file path=xl/calcChain.xml><?xml version="1.0" encoding="utf-8"?>
<calcChain xmlns="http://schemas.openxmlformats.org/spreadsheetml/2006/main">
  <c r="P12" i="18" l="1"/>
  <c r="P17" i="18" l="1"/>
  <c r="P4" i="18" l="1"/>
  <c r="P5" i="18"/>
  <c r="P6" i="18"/>
  <c r="P8" i="18"/>
  <c r="P7" i="18"/>
  <c r="P9" i="18"/>
  <c r="P10" i="18"/>
  <c r="P11" i="18"/>
  <c r="P13" i="18"/>
  <c r="P14" i="18"/>
  <c r="P15" i="18"/>
  <c r="P16" i="18"/>
  <c r="U2" i="20" l="1"/>
  <c r="T2" i="20"/>
  <c r="S2" i="20"/>
  <c r="R2" i="20"/>
  <c r="Q2" i="20"/>
  <c r="P2" i="20"/>
  <c r="O2" i="20"/>
  <c r="N2" i="20"/>
  <c r="M2" i="20"/>
  <c r="L2" i="20"/>
  <c r="K2" i="20"/>
  <c r="J2" i="20"/>
  <c r="I2" i="20"/>
  <c r="H2" i="20"/>
  <c r="G2" i="20"/>
  <c r="F2" i="20"/>
  <c r="E2" i="20"/>
  <c r="D2" i="20"/>
  <c r="C2" i="20"/>
  <c r="B2" i="20"/>
  <c r="A2" i="20"/>
  <c r="U2" i="19" l="1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A2" i="19"/>
  <c r="U2" i="18" l="1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A2" i="18"/>
  <c r="I2" i="15" l="1"/>
  <c r="E4" i="16"/>
  <c r="E42" i="16"/>
  <c r="E6" i="16"/>
  <c r="E43" i="16"/>
  <c r="E39" i="16"/>
  <c r="E32" i="16"/>
  <c r="E37" i="16"/>
  <c r="E12" i="16"/>
  <c r="E4" i="15"/>
  <c r="E10" i="16"/>
  <c r="E14" i="16"/>
  <c r="E9" i="16"/>
  <c r="E18" i="16"/>
  <c r="E7" i="16"/>
  <c r="E36" i="16"/>
  <c r="E5" i="15"/>
  <c r="E35" i="16"/>
  <c r="E38" i="16"/>
  <c r="E6" i="15"/>
  <c r="E7" i="15"/>
  <c r="E41" i="16"/>
  <c r="E34" i="16"/>
  <c r="E3" i="16"/>
  <c r="E8" i="16"/>
  <c r="E13" i="16"/>
  <c r="E33" i="16"/>
  <c r="E11" i="16"/>
  <c r="E5" i="16"/>
  <c r="E15" i="16"/>
  <c r="E17" i="16"/>
  <c r="E40" i="16"/>
  <c r="E3" i="15"/>
  <c r="E16" i="16"/>
  <c r="E29" i="16"/>
  <c r="E28" i="16"/>
  <c r="I3" i="16" l="1"/>
  <c r="I18" i="16"/>
  <c r="I9" i="16"/>
  <c r="I16" i="16"/>
  <c r="I8" i="16"/>
  <c r="I7" i="16"/>
  <c r="I17" i="16"/>
  <c r="I14" i="16"/>
  <c r="I6" i="16"/>
  <c r="I10" i="16"/>
  <c r="I13" i="16"/>
  <c r="I5" i="16"/>
  <c r="I11" i="16"/>
  <c r="I15" i="16"/>
  <c r="I12" i="16"/>
  <c r="I4" i="16"/>
  <c r="I5" i="15"/>
  <c r="I4" i="15"/>
  <c r="I3" i="15"/>
  <c r="I7" i="15"/>
  <c r="I6" i="15"/>
  <c r="E14" i="15"/>
  <c r="E15" i="15"/>
  <c r="E16" i="15"/>
  <c r="E17" i="15"/>
  <c r="E19" i="15"/>
  <c r="E20" i="15"/>
  <c r="E21" i="15"/>
  <c r="E22" i="15"/>
  <c r="E13" i="15"/>
  <c r="I2" i="16"/>
  <c r="G27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28" i="16"/>
  <c r="E31" i="16"/>
  <c r="C14" i="15"/>
  <c r="C18" i="15"/>
  <c r="C13" i="15"/>
  <c r="C15" i="15"/>
  <c r="E27" i="16"/>
  <c r="C16" i="15"/>
  <c r="E30" i="16"/>
  <c r="C17" i="15"/>
</calcChain>
</file>

<file path=xl/comments1.xml><?xml version="1.0" encoding="utf-8"?>
<comments xmlns="http://schemas.openxmlformats.org/spreadsheetml/2006/main">
  <authors>
    <author>Разыграев Андрей Алексеевич</author>
    <author>dRz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Имя команды, как оно будет показываться в меню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  <charset val="204"/>
          </rPr>
          <t>Внутреннее имя команды, как оно определено в dll / nrx / lsp</t>
        </r>
      </text>
    </comment>
    <comment ref="A5" authorId="1" shapeId="0">
      <text>
        <r>
          <rPr>
            <b/>
            <sz val="9"/>
            <color indexed="81"/>
            <rFont val="Tahoma"/>
            <family val="2"/>
            <charset val="204"/>
          </rPr>
          <t>Описание команды, показываемое в качестве всплывающей подсказки</t>
        </r>
      </text>
    </comment>
    <comment ref="A6" authorId="1" shapeId="0">
      <text>
        <r>
          <rPr>
            <b/>
            <sz val="9"/>
            <color indexed="81"/>
            <rFont val="Tahoma"/>
            <family val="2"/>
            <charset val="204"/>
          </rPr>
          <t>Имя панели/подменю</t>
        </r>
      </text>
    </comment>
    <comment ref="A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
Размер кнопки на ленте. None - кнопки не будет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  <charset val="204"/>
          </rPr>
          <t>test</t>
        </r>
      </text>
    </comment>
  </commentList>
</comments>
</file>

<file path=xl/comments2.xml><?xml version="1.0" encoding="utf-8"?>
<comments xmlns="http://schemas.openxmlformats.org/spreadsheetml/2006/main">
  <authors>
    <author>dRz</author>
    <author>Разыграев Андрей Алексеевич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Название сплитера ленты, если пусто иконки не будут прятаться под сплитер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  <charset val="204"/>
          </rPr>
          <t>Не регистрировать команду, эта строка будет пропущена если значение ИСКЛЮЧИТЬ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Команду зарегистрировать, но не показывать в интерфейсе, если ИСКЛЮЧИТЬ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  <charset val="204"/>
          </rPr>
          <t>Имя ресурсной dll. Обязательно, если установлен IconName, либо название иконки</t>
        </r>
      </text>
    </comment>
    <comment ref="A7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иконки, из ресурсной dll, только если в ResourceDllName имя библиотеки, иначе ничего</t>
        </r>
      </text>
    </comment>
    <comment ref="A8" authorId="1" shapeId="0">
      <text>
        <r>
          <rPr>
            <b/>
            <sz val="9"/>
            <color indexed="81"/>
            <rFont val="Tahoma"/>
            <family val="2"/>
            <charset val="204"/>
          </rPr>
          <t>Приложение, может быть пустым, иначе верхний уровень меню</t>
        </r>
      </text>
    </comment>
    <comment ref="A9" authorId="1" shapeId="0">
      <text>
        <r>
          <rPr>
            <b/>
            <sz val="9"/>
            <color indexed="81"/>
            <rFont val="Tahoma"/>
            <family val="2"/>
            <charset val="204"/>
          </rPr>
          <t>Аддон, может быть пустым, иначе подменю под главным меню</t>
        </r>
      </text>
    </comment>
    <comment ref="A10" authorId="1" shapeId="0">
      <text>
        <r>
          <rPr>
            <b/>
            <sz val="9"/>
            <color indexed="81"/>
            <rFont val="Tahoma"/>
            <family val="2"/>
            <charset val="204"/>
          </rPr>
          <t>Локализованное имя команды</t>
        </r>
      </text>
    </comment>
    <comment ref="A11" authorId="1" shapeId="0">
      <text>
        <r>
          <rPr>
            <b/>
            <sz val="9"/>
            <color indexed="81"/>
            <rFont val="Tahoma"/>
            <family val="2"/>
            <charset val="204"/>
          </rPr>
          <t>Реальное имя команды</t>
        </r>
      </text>
    </comment>
    <comment ref="A12" authorId="1" shapeId="0">
      <text>
        <r>
          <rPr>
            <b/>
            <sz val="9"/>
            <color indexed="81"/>
            <rFont val="Tahoma"/>
            <family val="2"/>
            <charset val="204"/>
          </rPr>
          <t>Ключевое слово</t>
        </r>
      </text>
    </comment>
    <comment ref="A13" authorId="1" shapeId="0">
      <text>
        <r>
          <rPr>
            <b/>
            <sz val="9"/>
            <color indexed="81"/>
            <rFont val="Tahoma"/>
            <family val="2"/>
            <charset val="204"/>
          </rPr>
          <t>Вес команды, по умолчанию 10</t>
        </r>
      </text>
    </comment>
    <comment ref="A14" authorId="1" shapeId="0">
      <text>
        <r>
          <rPr>
            <b/>
            <sz val="9"/>
            <color indexed="81"/>
            <rFont val="Tahoma"/>
            <family val="2"/>
            <charset val="204"/>
          </rPr>
          <t>Контекст выполнения команды, по умолчанию 1-контекст документа, если 0-контекст приложения</t>
        </r>
      </text>
    </comment>
    <comment ref="A15" authorId="1" shapeId="0">
      <text>
        <r>
          <rPr>
            <b/>
            <sz val="9"/>
            <color indexed="81"/>
            <rFont val="Tahoma"/>
            <family val="2"/>
            <charset val="204"/>
          </rPr>
          <t>Всплывающая подсказка</t>
        </r>
      </text>
    </comment>
    <comment ref="A16" authorId="1" shapeId="0">
      <text>
        <r>
          <rPr>
            <b/>
            <sz val="9"/>
            <color indexed="81"/>
            <rFont val="Tahoma"/>
            <family val="2"/>
            <charset val="204"/>
          </rPr>
          <t>Горячие клавиши</t>
        </r>
      </text>
    </comment>
    <comment ref="A17" authorId="1" shapeId="0">
      <text>
        <r>
          <rPr>
            <b/>
            <sz val="9"/>
            <color indexed="81"/>
            <rFont val="Tahoma"/>
            <family val="2"/>
            <charset val="204"/>
          </rPr>
          <t>Виртуальная панель.  Не используется</t>
        </r>
      </text>
    </comment>
    <comment ref="A18" authorId="1" shapeId="0">
      <text>
        <r>
          <rPr>
            <b/>
            <sz val="9"/>
            <color indexed="81"/>
            <rFont val="Tahoma"/>
            <family val="2"/>
            <charset val="204"/>
          </rPr>
          <t>Разделитель. Не используется</t>
        </r>
      </text>
    </comment>
    <comment ref="A27" authorId="1" shapeId="0">
      <text>
        <r>
          <rPr>
            <b/>
            <sz val="9"/>
            <color indexed="81"/>
            <rFont val="Tahoma"/>
            <family val="2"/>
            <charset val="204"/>
          </rPr>
          <t>---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сплитера ленты, если пусто иконки не будут прятаться под сплитер</t>
        </r>
      </text>
    </comment>
    <comment ref="A2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Не регистрировать команду, эта строка будет пропущена если 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Команду зарегистрировать, но не показывать в UI</t>
        </r>
      </text>
    </comment>
    <comment ref="A31" authorId="1" shapeId="0">
      <text>
        <r>
          <rPr>
            <b/>
            <sz val="9"/>
            <color indexed="81"/>
            <rFont val="Tahoma"/>
            <family val="2"/>
            <charset val="204"/>
          </rPr>
          <t>Имя ресурсной dll. Обязательна, если установлен IconName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иконки, из ресурсной dll</t>
        </r>
      </text>
    </comment>
    <comment ref="A33" authorId="1" shapeId="0">
      <text>
        <r>
          <rPr>
            <b/>
            <sz val="9"/>
            <color indexed="81"/>
            <rFont val="Tahoma"/>
            <family val="2"/>
            <charset val="204"/>
          </rPr>
          <t>Приложение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аддон</t>
        </r>
      </text>
    </comment>
    <comment ref="A35" authorId="1" shapeId="0">
      <text>
        <r>
          <rPr>
            <b/>
            <sz val="9"/>
            <color indexed="81"/>
            <rFont val="Tahoma"/>
            <family val="2"/>
            <charset val="204"/>
          </rPr>
          <t>Локализованное имя команды</t>
        </r>
      </text>
    </comment>
    <comment ref="A36" authorId="1" shapeId="0">
      <text>
        <r>
          <rPr>
            <b/>
            <sz val="9"/>
            <color indexed="81"/>
            <rFont val="Tahoma"/>
            <family val="2"/>
            <charset val="204"/>
          </rPr>
          <t>Реальное имя команды</t>
        </r>
      </text>
    </comment>
    <comment ref="A37" authorId="1" shapeId="0">
      <text>
        <r>
          <rPr>
            <b/>
            <sz val="9"/>
            <color indexed="81"/>
            <rFont val="Tahoma"/>
            <family val="2"/>
            <charset val="204"/>
          </rPr>
          <t>Ключевое слово</t>
        </r>
      </text>
    </comment>
    <comment ref="A38" authorId="1" shapeId="0">
      <text>
        <r>
          <rPr>
            <b/>
            <sz val="9"/>
            <color indexed="81"/>
            <rFont val="Tahoma"/>
            <family val="2"/>
            <charset val="204"/>
          </rPr>
          <t>Вес команды</t>
        </r>
      </text>
    </comment>
    <comment ref="A39" authorId="1" shapeId="0">
      <text>
        <r>
          <rPr>
            <b/>
            <sz val="9"/>
            <color indexed="81"/>
            <rFont val="Tahoma"/>
            <family val="2"/>
            <charset val="204"/>
          </rPr>
          <t>Контекст выполнения команды</t>
        </r>
      </text>
    </comment>
    <comment ref="A40" authorId="1" shapeId="0">
      <text>
        <r>
          <rPr>
            <b/>
            <sz val="9"/>
            <color indexed="81"/>
            <rFont val="Tahoma"/>
            <family val="2"/>
            <charset val="204"/>
          </rPr>
          <t>всплывающая подсказка</t>
        </r>
      </text>
    </comment>
    <comment ref="A41" authorId="1" shapeId="0">
      <text>
        <r>
          <rPr>
            <b/>
            <sz val="9"/>
            <color indexed="81"/>
            <rFont val="Tahoma"/>
            <family val="2"/>
            <charset val="204"/>
          </rPr>
          <t>Горячие клавиши</t>
        </r>
      </text>
    </comment>
    <comment ref="A4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Виртуальная панель. \ Если основной панели нет \ Ссылка на предыдущую панель если есть \ Или виртуальную предыдущую Для возможности команд в меню без панелей, сразу под аддон или приложение Но в ленте , что бы знали к какому табу привязывться </t>
        </r>
      </text>
    </comment>
    <comment ref="A43" authorId="1" shapeId="0">
      <text>
        <r>
          <rPr>
            <b/>
            <sz val="9"/>
            <color indexed="81"/>
            <rFont val="Tahoma"/>
            <family val="2"/>
            <charset val="204"/>
          </rPr>
          <t>Разделитель не используется</t>
        </r>
      </text>
    </comment>
  </commentList>
</comments>
</file>

<file path=xl/sharedStrings.xml><?xml version="1.0" encoding="utf-8"?>
<sst xmlns="http://schemas.openxmlformats.org/spreadsheetml/2006/main" count="2007" uniqueCount="719">
  <si>
    <t>Имя команды</t>
  </si>
  <si>
    <t>Внутреннее имя</t>
  </si>
  <si>
    <t>Описание</t>
  </si>
  <si>
    <t>Имя панели</t>
  </si>
  <si>
    <t>Размер в ленте</t>
  </si>
  <si>
    <t>RibbonSplitButton</t>
  </si>
  <si>
    <t>Не учитывать</t>
  </si>
  <si>
    <t>Зарегистрировать, но не отображать в меню</t>
  </si>
  <si>
    <t>Комментарий</t>
  </si>
  <si>
    <t>Приоритетность справки</t>
  </si>
  <si>
    <t>Видео</t>
  </si>
  <si>
    <t>Инспектор свойств</t>
  </si>
  <si>
    <t>TBSPlus_Properties</t>
  </si>
  <si>
    <t>Палитра для отображения различных показателей по выбранным объектам (суммарная длина, площадь и тд)</t>
  </si>
  <si>
    <t>Панели инструментов</t>
  </si>
  <si>
    <t>LargeWithText</t>
  </si>
  <si>
    <t>Калькулятор текста</t>
  </si>
  <si>
    <t>SmallWithoutText</t>
  </si>
  <si>
    <t>Работа с полилинией</t>
  </si>
  <si>
    <t>Изменить длину сегмента</t>
  </si>
  <si>
    <t>TBSPlus_ChangeSegmentLength</t>
  </si>
  <si>
    <t>Изменение длины линейного сегмента полилинии</t>
  </si>
  <si>
    <t>Удлинение полилинии</t>
  </si>
  <si>
    <t>TBSPlus_ExtendPolyline</t>
  </si>
  <si>
    <t>Добавление точек в начало или конец полилинии</t>
  </si>
  <si>
    <t>Аппроксимировать линейный объект</t>
  </si>
  <si>
    <t>TBSPlus_ApproximateCurve</t>
  </si>
  <si>
    <t>Преобразует объект, содержащий криволинейные сегменты, в полилинию, содержащую только прямые. Криволинейные сегменты аппроксимируются с заданным допуском отклонения от начального положения</t>
  </si>
  <si>
    <t>Упрощение полилинии</t>
  </si>
  <si>
    <t>TBSPlus_SimplifyPolyline</t>
  </si>
  <si>
    <t>Уменьшение количества сегментов полилинии с заданным допуском отклонения новой полилинии от начальной</t>
  </si>
  <si>
    <t>Сделать вершину начальной</t>
  </si>
  <si>
    <t>TBSPlus_ReorderPolyline</t>
  </si>
  <si>
    <t>Переопределение начальной вершины замкнутой полилинии</t>
  </si>
  <si>
    <t>Вершины на пересечении полилиний</t>
  </si>
  <si>
    <t>TBSPlus_AddVerticesAtPolylineIntersections</t>
  </si>
  <si>
    <t>Вставка вершин в местах пересечений (в том числе самопересечений) полилиний</t>
  </si>
  <si>
    <t>Объединить 3D-полилинии</t>
  </si>
  <si>
    <t>TBSPlus_Join3DPolylines</t>
  </si>
  <si>
    <t>Объединение 3D-полилиний и отрезков в 3D-полилинии с заданным допуском</t>
  </si>
  <si>
    <t>Поделить полилинию</t>
  </si>
  <si>
    <t>TBSPlus_DividePolylines</t>
  </si>
  <si>
    <t>Добавление вершин полилинии с заданным шагом</t>
  </si>
  <si>
    <t>Построить перпендикуляр</t>
  </si>
  <si>
    <t>TBSPlus_DrawOrthogonalTo</t>
  </si>
  <si>
    <t xml:space="preserve">Построение перпендикуляра к указанной точке выбранного линейного объекта </t>
  </si>
  <si>
    <t>Проверка полилинии на касательные</t>
  </si>
  <si>
    <t>TBSPlus_InspectPolyline</t>
  </si>
  <si>
    <t>Проверка полилинии на соблюдение в вершинах коллинеарности векторов направления движения</t>
  </si>
  <si>
    <t>Примитивы в полилинию</t>
  </si>
  <si>
    <t>TBSPlus_ConvertToPolyline</t>
  </si>
  <si>
    <t>Преобразование отрезков, дуг, кругов в полилинии с возможностью объединить полученные полилинии</t>
  </si>
  <si>
    <t>Импорт .bln</t>
  </si>
  <si>
    <t>TBSPlus_ImportBln</t>
  </si>
  <si>
    <t>Импорт полилиний из файла формата .bln</t>
  </si>
  <si>
    <t xml:space="preserve">bln </t>
  </si>
  <si>
    <t>Экспорт полилиний в .bln</t>
  </si>
  <si>
    <t>TBSPlus_ExportBln</t>
  </si>
  <si>
    <t>Экспорт полилиний в файл формата .bln</t>
  </si>
  <si>
    <t>Округлить координаты</t>
  </si>
  <si>
    <t>TBSPlus_RoundCoordinates</t>
  </si>
  <si>
    <t>Округление координат точек вставки точечных объектов или вершин полилиний до указанного знака. Есть возможность округления координат в плане и по высоте</t>
  </si>
  <si>
    <t>Преобразование</t>
  </si>
  <si>
    <t>Реверс объектов</t>
  </si>
  <si>
    <t>TBSPlus_ReverseCurve</t>
  </si>
  <si>
    <t>Изменение направления линейного объекта на противоположное</t>
  </si>
  <si>
    <t>Заменить объекты выбранным</t>
  </si>
  <si>
    <t>TBSPlus_ReplaceObjects</t>
  </si>
  <si>
    <t>Замена объектов чертежа другим выбранным объектом</t>
  </si>
  <si>
    <t>Нелинейное масштабирование</t>
  </si>
  <si>
    <t>TBSPlus_Scale</t>
  </si>
  <si>
    <t>Масштабирование объектов с возможностью задать разный масштаб по осям Х и Y</t>
  </si>
  <si>
    <t>Повернуть объекты</t>
  </si>
  <si>
    <t>TBSPlus_RotateObjects</t>
  </si>
  <si>
    <t>Поворот объектов на относительный угол вокруг точки вставки объекта</t>
  </si>
  <si>
    <t>Повернуть объекты по списку</t>
  </si>
  <si>
    <t>TBSPlus_RotateObjectsByList</t>
  </si>
  <si>
    <t>Поворот объектов на относительный угол по списку координат и углов поворота</t>
  </si>
  <si>
    <t>Мультивыноски в универсальные выноски</t>
  </si>
  <si>
    <t>TBSPlus_ConvertMLeaderToMCNote</t>
  </si>
  <si>
    <t>Замена мультивыносок универсальными выносками</t>
  </si>
  <si>
    <t>Конвертировать 3D в 2D</t>
  </si>
  <si>
    <t>TBSPlus_3dPolylineTo2d</t>
  </si>
  <si>
    <t>Преобразование 3D-полилинии в полилинию с проекцией на высоту первой точки или на 0</t>
  </si>
  <si>
    <t>Конвертация 3Д и 2Д</t>
  </si>
  <si>
    <t>Конвертировать 2D в 3D</t>
  </si>
  <si>
    <t>TBSPlus_2dPolylineTo3d</t>
  </si>
  <si>
    <t xml:space="preserve">Преобразование полилиний, отрезков, дуг, кругов в 3D-полилинию. Для дуговых сегментов производится аппроксимация с заданным отклонением от первоначального положения </t>
  </si>
  <si>
    <t>Объединение STL</t>
  </si>
  <si>
    <t>TBSPlus_MergeSTL</t>
  </si>
  <si>
    <t>Объединение STL-геометрии, разделенной на тайлы</t>
  </si>
  <si>
    <t>Экспорт слоёв в DWG</t>
  </si>
  <si>
    <t>TBSPlus_ExportLayers</t>
  </si>
  <si>
    <t>Экспорт каждого слоя из чертежа в отдельный файл .dwg</t>
  </si>
  <si>
    <t>Разрыв линейных объектов на пересечениях</t>
  </si>
  <si>
    <t>TBSPlus_BreakCurvesByIntersection</t>
  </si>
  <si>
    <t>Разрыв выбранных линейных объектов в местах их пересечений друг с другом</t>
  </si>
  <si>
    <t>Подрезать по контуру</t>
  </si>
  <si>
    <t>TBSPlus_TrimByContour</t>
  </si>
  <si>
    <t>Удаление всех объектов, не попадающих в выбранный замкнутый контур, а также подрезка линейных объектов, пересекающих контур</t>
  </si>
  <si>
    <t>Выбор и очистка</t>
  </si>
  <si>
    <t>Выбрать по контуру</t>
  </si>
  <si>
    <t>TBSPlus_SelectByContour</t>
  </si>
  <si>
    <t>Выбор объектов по линейным объектам</t>
  </si>
  <si>
    <t>Выбор по фильтру</t>
  </si>
  <si>
    <t>TBSPlus_QuickSelection</t>
  </si>
  <si>
    <t>Выбор объектов по заданным параметрам</t>
  </si>
  <si>
    <t>Выбор объектов</t>
  </si>
  <si>
    <t>Выбор по фильтру из текущего</t>
  </si>
  <si>
    <t>TBSPlus_QuickSelectionFromBasic</t>
  </si>
  <si>
    <t>Выбор объектов по заданным параметрам среди текущего выбора</t>
  </si>
  <si>
    <t>Выбор по фильтру - Настройки</t>
  </si>
  <si>
    <t>TBSPlus_QuickSelectionConfiguration</t>
  </si>
  <si>
    <t>Изменение набора параметров, по которому осуществляется команда "Выбор по фильтру"</t>
  </si>
  <si>
    <t>Удалить аннотативность</t>
  </si>
  <si>
    <t>TBSPlus_RemoveAnnotativeness</t>
  </si>
  <si>
    <t>Анализирует и позволяет установить значение "Ложь" свойству "Аннотативный" для стилей и объектов на чертеже</t>
  </si>
  <si>
    <t>Взорвать блоки</t>
  </si>
  <si>
    <t>TBSPlus_ExplodeBlocksToPrimitives</t>
  </si>
  <si>
    <t>Разбивка всех блоков с атрибутами в чертеже</t>
  </si>
  <si>
    <t>Поиск дубликатов точечных объектов</t>
  </si>
  <si>
    <t>TBSPlus_SearchPointEntitiesDuplicates</t>
  </si>
  <si>
    <t>Поиск дубликатов и прореживание текстовых объектов, блоков и точек по заданным параметрам</t>
  </si>
  <si>
    <t>Поиск дубликатов 3D-граней</t>
  </si>
  <si>
    <t>TBSPlus_SearchFaceDuplicates</t>
  </si>
  <si>
    <t>Поиск дубликатов 3D-граней по заданным параметрам</t>
  </si>
  <si>
    <t>Удалить ссылки</t>
  </si>
  <si>
    <t>TBSPlus_ReferenceRemover</t>
  </si>
  <si>
    <t>Удаление неиспользуемых и / или ненайденных ссылок</t>
  </si>
  <si>
    <t>Выбрать внутренние контуры</t>
  </si>
  <si>
    <t>TBSPlus_SelectInternalContours</t>
  </si>
  <si>
    <t>Оставляет в выборке только те полилинии, которые лежат внутри других полилиний</t>
  </si>
  <si>
    <t>Импорт растра с помощью *.tab</t>
  </si>
  <si>
    <t>TBSPlus_ImportRasterViaTabFile</t>
  </si>
  <si>
    <t>Импорт растра с помощью файла привязки *.tab</t>
  </si>
  <si>
    <t>Растры</t>
  </si>
  <si>
    <t>Растры с TAB</t>
  </si>
  <si>
    <t>Создать файл привязки *.tab</t>
  </si>
  <si>
    <t>TBSPlus_CreateTabFile</t>
  </si>
  <si>
    <t>Создать для растра файл привязки *.tab</t>
  </si>
  <si>
    <t>Заменить нумерацию</t>
  </si>
  <si>
    <t>TBSPlus_NumerateExist</t>
  </si>
  <si>
    <t>Нумерация текстовых объектов (в т.ч. атрибутов блоков) в соответствии с заданным правилом</t>
  </si>
  <si>
    <t>Текст и атрибуты</t>
  </si>
  <si>
    <t>Выровнять текст</t>
  </si>
  <si>
    <t>TBSPlus_AlignText</t>
  </si>
  <si>
    <t>Выравнивание нескольких текстовых объектов по указанной точке и с указанным интервалом по высоте</t>
  </si>
  <si>
    <t>Замена текста</t>
  </si>
  <si>
    <t>TBSPlus_EditText</t>
  </si>
  <si>
    <t>Добавление префикса / суффикса текстовым объектам, а также замена текста</t>
  </si>
  <si>
    <t>Очистить форматирование МТекста</t>
  </si>
  <si>
    <t>TBSPlus_RemoveTextFormatting</t>
  </si>
  <si>
    <t>Очистка форматирования внутри МТекста</t>
  </si>
  <si>
    <t>Таблицы AutoCAD в nanoCAD</t>
  </si>
  <si>
    <t>TBSPlus_ConvertTable</t>
  </si>
  <si>
    <t>Преобразование dwg таблиц в таблицы nanoCAD</t>
  </si>
  <si>
    <t>Текст в МТекст</t>
  </si>
  <si>
    <t>TBSPlus_ConvertToMText</t>
  </si>
  <si>
    <t>Конвертация однострочных текстовых объектов в МТекст с возможностью объединения их в один объект</t>
  </si>
  <si>
    <t>Заменить десятичный разделитель</t>
  </si>
  <si>
    <t>TBSPlus_ReplaceSeparatorInText</t>
  </si>
  <si>
    <t>Замена десятичного разделителя в выбранном тексте (замена точки запятой или наоборот)</t>
  </si>
  <si>
    <t>Экспорт текста</t>
  </si>
  <si>
    <t>TBSPlus_ExportText</t>
  </si>
  <si>
    <t>Экспорт текстовой информации чертежа в файл</t>
  </si>
  <si>
    <t>Экспорт / испорт текста</t>
  </si>
  <si>
    <t>Импорт текста</t>
  </si>
  <si>
    <t>TBSPlus_ImportText</t>
  </si>
  <si>
    <t xml:space="preserve">Замена текстовых значений в объектах данными из файла </t>
  </si>
  <si>
    <t>Выбрать Ole с проблемами импорта</t>
  </si>
  <si>
    <t>TBSPlus_SelectProblemOle</t>
  </si>
  <si>
    <t>Выбрать Ole-объекты, с которыми возникли проблемы при последнем импорте текста в текущий чертеж. Используется для проверки корректности импорта текста в такие объекты</t>
  </si>
  <si>
    <t>Импорт атрибутов блока</t>
  </si>
  <si>
    <t>TBSPlus_ImportAttributes</t>
  </si>
  <si>
    <t>Импорт атрибутов блоков</t>
  </si>
  <si>
    <t>Вставка с автонумерацией</t>
  </si>
  <si>
    <t>TBSPlus_NumerateNew</t>
  </si>
  <si>
    <t>Вставка текста (или блока с атрибутом) в соответствии с заданным правилом нумерации</t>
  </si>
  <si>
    <t>Экспорт объектов</t>
  </si>
  <si>
    <t>TBSPlus_ExportPoints</t>
  </si>
  <si>
    <t xml:space="preserve">Запись координат точечных объектов, вершин полилиний и поверхностей, текста, а также номера точек, значений атрибутов и самого текста в файл </t>
  </si>
  <si>
    <t>Точки и блоки</t>
  </si>
  <si>
    <t>Присвоить отметки точке</t>
  </si>
  <si>
    <t>TBSPlus_ElevationFromText</t>
  </si>
  <si>
    <t>Задание отметок точкам или блокам по ближайшему тексту</t>
  </si>
  <si>
    <t>Подписать отметки точек</t>
  </si>
  <si>
    <t>TBSPlus_SignPointsElevation</t>
  </si>
  <si>
    <t>Вставка текста, содержащего значение отметки, рядом с этой точкой</t>
  </si>
  <si>
    <t>Пронумеровать точки</t>
  </si>
  <si>
    <t>TBSPlus_NumeratePoints</t>
  </si>
  <si>
    <t>Вставка текста, содержащего номер, рядом с этой точкой</t>
  </si>
  <si>
    <t>Точки по вершинам полилинии</t>
  </si>
  <si>
    <t>TBSPlus_PointOnPolylineVertices</t>
  </si>
  <si>
    <t>Вставка точек в вершины полилинии</t>
  </si>
  <si>
    <t>Поиск точек по высоте</t>
  </si>
  <si>
    <t>TBSPlus_CreatePointsAtHeight</t>
  </si>
  <si>
    <t>Построение точек на линейных объектах на заданной высоте</t>
  </si>
  <si>
    <t>Переименовать блок</t>
  </si>
  <si>
    <t>TBSPlus_ChangeBlockName</t>
  </si>
  <si>
    <t>Изменение имени выбранного блока</t>
  </si>
  <si>
    <t>Объекты на поверхность</t>
  </si>
  <si>
    <t>TBSPlus_RaiseObjectsToSurface</t>
  </si>
  <si>
    <t>Выравнивание высотного положения выбранных объектов в соответствии с поверхностью</t>
  </si>
  <si>
    <t>Сравнить точки с поверхностью</t>
  </si>
  <si>
    <t>TBSPlus_ComparePointsWithSurface</t>
  </si>
  <si>
    <t>Сравнение отметок точек на выбранном слое с сетью, в результате которого точки распределяются по слоям в соответствии со своим относительным положением</t>
  </si>
  <si>
    <t>Выгрузить блоки</t>
  </si>
  <si>
    <t>TBSPlus_ExportBlocks</t>
  </si>
  <si>
    <t xml:space="preserve">Экспорт блоков в виде каталога .dwg файлов из текущего чертежа </t>
  </si>
  <si>
    <t>Загрузить блоки</t>
  </si>
  <si>
    <t>TBSPlus_ImportBlocks</t>
  </si>
  <si>
    <t>Импорт блоков из каталога .dwg файлов в текущий чертеж с переопределением</t>
  </si>
  <si>
    <t>Блоки в линию</t>
  </si>
  <si>
    <t>TBSPlus_BlocksInLine</t>
  </si>
  <si>
    <t>Выстроить набор блоков, расположенных вдоль линейного объекта, на прямую линию с заданным расстоянием</t>
  </si>
  <si>
    <t>Отобразить данные временной графикой</t>
  </si>
  <si>
    <t>TBSPlus_TransientVisibility</t>
  </si>
  <si>
    <t>Палитра для управления видимостью атрибутов блоков и отметок точек и вершин 3D-полилиний в виде временной графики</t>
  </si>
  <si>
    <t>Ближайший текст в атрибут блока</t>
  </si>
  <si>
    <t>TBSPlus_FillBlockAttribute</t>
  </si>
  <si>
    <t>Запись содержимого ближайшего текстового объекта в атрибут блока</t>
  </si>
  <si>
    <t>Строительные отклонения</t>
  </si>
  <si>
    <t>TBSPlus_Deviations</t>
  </si>
  <si>
    <t>Расчёт и оформление отклонений различных видов</t>
  </si>
  <si>
    <t>Геодезия и маркшейдерия</t>
  </si>
  <si>
    <t>Импорт точек отклонений</t>
  </si>
  <si>
    <t>TBSPlus_ImportPoints</t>
  </si>
  <si>
    <t>Импорт данных по точкам из текстового файла (.txt, .csv)</t>
  </si>
  <si>
    <t>Отметка текста</t>
  </si>
  <si>
    <t>TBSPlus_TextElevation</t>
  </si>
  <si>
    <t>Установка высотного положения выбранного однострочного текста в соответствии с его содержимым. Есть возможность создать точку на этой отметке</t>
  </si>
  <si>
    <t>Поперечное сечение выработки</t>
  </si>
  <si>
    <t>TBSPlus_ExtractionCrossSection</t>
  </si>
  <si>
    <t>Построение поперечного сечения выработки</t>
  </si>
  <si>
    <t>Расстановка пикетов вручную</t>
  </si>
  <si>
    <t>TBSPlus_PlacePicketsManually</t>
  </si>
  <si>
    <t>Расстановка пикетов между зафиксированными с заданным шагом и интерполяцией невязки</t>
  </si>
  <si>
    <t>Расстановка пикетов автоматически</t>
  </si>
  <si>
    <t>TBSPlus_PlacePicketsAutomatically</t>
  </si>
  <si>
    <t>Расстановка пикетов между массивом зафиксированных с заданным шагом и интерполяцией невязки</t>
  </si>
  <si>
    <t>Экспорт пикетов</t>
  </si>
  <si>
    <t>TBSPlus_ExportPickets</t>
  </si>
  <si>
    <t>Экспорт пикетов в текстовый файл</t>
  </si>
  <si>
    <t>Сгенерировать контуры сети</t>
  </si>
  <si>
    <t>TBSPlus_GenerateSurfaceContours</t>
  </si>
  <si>
    <t>Генерация контуров сети (многогранной сети) в виде 3D-полилиний или полилиний</t>
  </si>
  <si>
    <t>Окружность по точкам</t>
  </si>
  <si>
    <t>TBSPlus_CreateCircles</t>
  </si>
  <si>
    <t>Построение окружности по трём и более точкам с заданным или усредненным радиусом</t>
  </si>
  <si>
    <t>Генератор отклонений</t>
  </si>
  <si>
    <t>TBSPlus_GenerateDiscrepancy</t>
  </si>
  <si>
    <t>Генерация случайных отклонений для текстовых значений или координат</t>
  </si>
  <si>
    <t>Копировать ПСК в чертёж</t>
  </si>
  <si>
    <t>TBSPlus_CopyUCSToDocument</t>
  </si>
  <si>
    <t>Копирование всех именованных, а также текущей именованной или неименованной ПСК в другой чертёж</t>
  </si>
  <si>
    <t>Нивелир</t>
  </si>
  <si>
    <t>TBSPlus_LevelingInstrument</t>
  </si>
  <si>
    <t>Палитра для измерения превышения и проложения между точками</t>
  </si>
  <si>
    <t>3D Тело по поверхности</t>
  </si>
  <si>
    <t>TBSPlus_SolidFromSurface</t>
  </si>
  <si>
    <t>Создание 3Д тела выдавливанием из поверхности Сеть до отметки или на глубину</t>
  </si>
  <si>
    <t>Свойства точки облака в блок</t>
  </si>
  <si>
    <t>TBSPlus_InsertPointCloudInfoBlock</t>
  </si>
  <si>
    <t>Вставить блок с информацией о точке облака точек</t>
  </si>
  <si>
    <t>Выноски отклонений по облаку</t>
  </si>
  <si>
    <t>TBSPlus_MarkPointCloudDeviation</t>
  </si>
  <si>
    <t>Расстановка на листе выносок отклонений по блокам, расставленным по облаку точек с помощью команды "Свойства точки облака в блок"</t>
  </si>
  <si>
    <t>О программе</t>
  </si>
  <si>
    <t>TBSPlus_AboutProgram</t>
  </si>
  <si>
    <t xml:space="preserve">Информация о плагине и ссылки на ресурсы компании TBS </t>
  </si>
  <si>
    <t>Инфо</t>
  </si>
  <si>
    <t>Справка online</t>
  </si>
  <si>
    <t>TBSPlus_OnlineHelp</t>
  </si>
  <si>
    <t>Переход на страницу онлайн-справки</t>
  </si>
  <si>
    <t>Справка</t>
  </si>
  <si>
    <t>PDF справка</t>
  </si>
  <si>
    <t>TBSPlus_OfflineHelp</t>
  </si>
  <si>
    <t>Справка в формате PDF</t>
  </si>
  <si>
    <t>Папка пользовательских блоков</t>
  </si>
  <si>
    <t>TBSPlus_UserBlocksDirectory</t>
  </si>
  <si>
    <t xml:space="preserve">Открыть папку, в которой можно расположить отредактированные блоки, которые будут использоваться плагином </t>
  </si>
  <si>
    <t>Папка блоков плагина</t>
  </si>
  <si>
    <t>TBSPlus_BlocksDirectory</t>
  </si>
  <si>
    <t xml:space="preserve">Открыть папку, в которой расположены блоки, используемые плагином </t>
  </si>
  <si>
    <t>Пронумеровать оборудование MS</t>
  </si>
  <si>
    <t>TBSPlus_NumerateMSObjects</t>
  </si>
  <si>
    <t>Настраиваемая нумерация оборудования MS, используется параметр "BOM_NUMBER"</t>
  </si>
  <si>
    <t>Скрытые команды</t>
  </si>
  <si>
    <t>Пронумеровать подобъекты MS</t>
  </si>
  <si>
    <t>TBSPlus_NumerateMSChildObjects</t>
  </si>
  <si>
    <t>Нумерация подобъектов оборудования MS для корректной передачи в спецификацию, используется параметр "BOM_NUMBER"</t>
  </si>
  <si>
    <t>Поиск объекта по CADLib UID</t>
  </si>
  <si>
    <t>TBSPlus_ElementSearchingPalette</t>
  </si>
  <si>
    <t>Поиск объекта MS по значению параметра "Внутренний идентификатор CADLib UID" (TBS_CADLIB_OBJECT_UID)</t>
  </si>
  <si>
    <t>Отлонения точечных объектов</t>
  </si>
  <si>
    <t>TBSPlus_DeviationForPointsManually</t>
  </si>
  <si>
    <t>Отлонения точечных объектов автоматически</t>
  </si>
  <si>
    <t>TBSPlus_DeviationForPointsAutomatically</t>
  </si>
  <si>
    <t>Отклонения от линии</t>
  </si>
  <si>
    <t>TBSPlus_DeviationFromLineManually</t>
  </si>
  <si>
    <t>Отклонения от линии автоматически</t>
  </si>
  <si>
    <t>TBSPlus_DeviationFromLineAutomatically</t>
  </si>
  <si>
    <t>Отклонения по сети</t>
  </si>
  <si>
    <t>TBSPlus_DeviationFromSurface</t>
  </si>
  <si>
    <t>Отклонения точки по высоте</t>
  </si>
  <si>
    <t>TBSPlus_PointElevationDeviation</t>
  </si>
  <si>
    <t>Менеджер блоков</t>
  </si>
  <si>
    <t>TBSPlus_ApplyBlockManagerChanges</t>
  </si>
  <si>
    <t>TBSPlus_TextCalculatorWithVariable</t>
  </si>
  <si>
    <t>TBSPlus_TextCalculatorWithText</t>
  </si>
  <si>
    <t>Калькулятор текста - округление</t>
  </si>
  <si>
    <t>TBSPlus_TextCalculatorRounding</t>
  </si>
  <si>
    <t>Вставка блока из палитры</t>
  </si>
  <si>
    <t>TBSPlus_InsertBlock</t>
  </si>
  <si>
    <t>Импорт_текста</t>
  </si>
  <si>
    <t>TBSPlus_ImportTextCommand</t>
  </si>
  <si>
    <t>Подписать объект именем слоя</t>
  </si>
  <si>
    <t>TBSPlus_InsertLayerName</t>
  </si>
  <si>
    <t>Вставка текста с динамическим полем, содержащим название слоя линейного объекта, вдоль этого объекта</t>
  </si>
  <si>
    <t>Длина или слой объекта</t>
  </si>
  <si>
    <t>Длина участка линейного объекта</t>
  </si>
  <si>
    <t>TBSPlus_CurveSegmentLenNew</t>
  </si>
  <si>
    <t>Создание текста со значением длины  участка между двумя точками выбранного линейного объекта</t>
  </si>
  <si>
    <t>Длина объекта в текст</t>
  </si>
  <si>
    <t>TBSPlus_CurveLenExist</t>
  </si>
  <si>
    <t>Вставка значения длины выбранного линейного объекта в существующий текст</t>
  </si>
  <si>
    <t xml:space="preserve">Длина линейного объекта </t>
  </si>
  <si>
    <t>TBSPlus_CurveLenNew</t>
  </si>
  <si>
    <t>Создание текста со значением длины участка между двумя точками выбранного линейного объекта</t>
  </si>
  <si>
    <t>Длина участка объекта в текст</t>
  </si>
  <si>
    <t>TBSPlus_CurveSegmentLenExist</t>
  </si>
  <si>
    <t>Вставка значения длины участка между двумя точками выбранного линейного объекта в существующий текст</t>
  </si>
  <si>
    <t>Маркер площади</t>
  </si>
  <si>
    <t>TBSPlus_MarkSection</t>
  </si>
  <si>
    <t>Маркер площади на сечении</t>
  </si>
  <si>
    <t>Замена символов</t>
  </si>
  <si>
    <t>TBSPlus_ReplaceSpecialSymbols</t>
  </si>
  <si>
    <t>Замена букв и символов на целевые по словарю соответствия</t>
  </si>
  <si>
    <t>Создание словаря</t>
  </si>
  <si>
    <t>TBSPlus_AddSpecialSymbolFile</t>
  </si>
  <si>
    <t>Создание и дополнение словаря соответствия букв и символов</t>
  </si>
  <si>
    <t>Вставить по словарю</t>
  </si>
  <si>
    <t>TBSPlus_WriteMatchingSymbols</t>
  </si>
  <si>
    <t>Вывод символов в пространство чертежа по словарю для возможности изменения и создания нового словаря</t>
  </si>
  <si>
    <t>Папка со словарями</t>
  </si>
  <si>
    <t>TBSPlus_DictionariesDirectory</t>
  </si>
  <si>
    <t>Открытие папки с сохраненными словарями в проводнике</t>
  </si>
  <si>
    <t>Обрезка по тексту</t>
  </si>
  <si>
    <t>TBSPlus_TrimByEdge</t>
  </si>
  <si>
    <t>Стандартная обрезка с учётом текста</t>
  </si>
  <si>
    <t>Обрезка/удлинение</t>
  </si>
  <si>
    <t>Удлинение по тексту</t>
  </si>
  <si>
    <t>TBSPlus_ExpandByEdge</t>
  </si>
  <si>
    <t>Стандартное удлинение с учётом текста</t>
  </si>
  <si>
    <t>DST менеджер</t>
  </si>
  <si>
    <t>TBSPlus_EditDST</t>
  </si>
  <si>
    <t>Управление подшивками</t>
  </si>
  <si>
    <t>Выбрать по типу и слою</t>
  </si>
  <si>
    <t>TBSPlus_TypeLayerSelection</t>
  </si>
  <si>
    <t>Выбор объектов на таком же слое и такого же типа, как указанный объект</t>
  </si>
  <si>
    <t>Взорвать все объекты "Aec..."</t>
  </si>
  <si>
    <t>TBSPlus_ExplodeAecEntities</t>
  </si>
  <si>
    <t>Редактор границ штриховки</t>
  </si>
  <si>
    <t>TBSPlus_HatchEditor</t>
  </si>
  <si>
    <t>Генерация границ штриховок</t>
  </si>
  <si>
    <t>TBSPlus_GenerateHatchBoundaries</t>
  </si>
  <si>
    <t>Удалить совпадающие вершины</t>
  </si>
  <si>
    <t>TBSPlus_DeleteMatchingPolylinePoints</t>
  </si>
  <si>
    <t>Удаление совпадающих вершин полилинии</t>
  </si>
  <si>
    <t>Нормализация блоков, командный режим, настройки окно</t>
  </si>
  <si>
    <t>Нормализация блоков, командный режим, настройки ком строка</t>
  </si>
  <si>
    <t>Нормализация блоков, оконный режим</t>
  </si>
  <si>
    <t>Информация о командах сборки</t>
  </si>
  <si>
    <t>Все свойства по блоку</t>
  </si>
  <si>
    <t>Все свойства по слою</t>
  </si>
  <si>
    <t>Запретить расчленение блока</t>
  </si>
  <si>
    <t>Разрешить расчленение блока</t>
  </si>
  <si>
    <t>Разные масштабы блока</t>
  </si>
  <si>
    <t>Одинаковые масштабы блока</t>
  </si>
  <si>
    <t>Цвет линий примитивов по блоку</t>
  </si>
  <si>
    <t>Цвет линий примитивов по слою</t>
  </si>
  <si>
    <t>Штриховки позади всех</t>
  </si>
  <si>
    <t>Примитивы блока на слой 0</t>
  </si>
  <si>
    <t>Тип линий примитивов по блоку</t>
  </si>
  <si>
    <t>Тип линий примитивов по слою</t>
  </si>
  <si>
    <t>Вес линий примитивов по блоку</t>
  </si>
  <si>
    <t>Вес линий примитивов по слою</t>
  </si>
  <si>
    <t>Ширина полилиний  0</t>
  </si>
  <si>
    <t>Маскировки позади всех</t>
  </si>
  <si>
    <t>Путь к конфигурационному файлу</t>
  </si>
  <si>
    <t>Каталог для хранения логов</t>
  </si>
  <si>
    <t>Отключение лога</t>
  </si>
  <si>
    <t>Включение лога</t>
  </si>
  <si>
    <t>Настройки логирования</t>
  </si>
  <si>
    <t>drz-block-normalize</t>
  </si>
  <si>
    <t>drz-config-filename</t>
  </si>
  <si>
    <t>drz-folder-for-logs</t>
  </si>
  <si>
    <t>drz-log-off</t>
  </si>
  <si>
    <t>drz-log-on</t>
  </si>
  <si>
    <t>drz-log-settings</t>
  </si>
  <si>
    <t>-drz-block-normalize</t>
  </si>
  <si>
    <t>-drz-block-normalize-notWin</t>
  </si>
  <si>
    <t>-drz-block-lstInfo</t>
  </si>
  <si>
    <t>-drz-block-AllProp-ByBlock</t>
  </si>
  <si>
    <t>-drz-block-AllProp-ByLayer</t>
  </si>
  <si>
    <t>-drz-block-Explodable-No</t>
  </si>
  <si>
    <t>-drz-block-Explodable-Yes</t>
  </si>
  <si>
    <t>-drz-block-Scale-No</t>
  </si>
  <si>
    <t>-drz-block-Scale-Yes</t>
  </si>
  <si>
    <t>-drz-block-Color-ByBlock</t>
  </si>
  <si>
    <t>-drz-block-Color-ByLayer</t>
  </si>
  <si>
    <t>-drz-block-HatchBack</t>
  </si>
  <si>
    <t>-drz-block-LayerZero</t>
  </si>
  <si>
    <t>-drz-block-Linetype-ByBlock</t>
  </si>
  <si>
    <t>-drz-block-Linetype-ByLayer</t>
  </si>
  <si>
    <t>-drz-block-Lineweight-ByBlock</t>
  </si>
  <si>
    <t>-drz-block-Lineweight-ByLayer</t>
  </si>
  <si>
    <t>-drz-block-LwGlobalWidth</t>
  </si>
  <si>
    <t>-drz-block-WipeOutBack</t>
  </si>
  <si>
    <t>BitmapDll</t>
  </si>
  <si>
    <t>Icon</t>
  </si>
  <si>
    <t>Свойства блоков</t>
  </si>
  <si>
    <t>Служебные</t>
  </si>
  <si>
    <t>[BlockNormalizeCmdLineCommand]</t>
  </si>
  <si>
    <t>[BlockNormalizeCmdLineCommandWithoutWindowSet]</t>
  </si>
  <si>
    <t>[BlockNormalizeCommand]</t>
  </si>
  <si>
    <t>[ListCMD]</t>
  </si>
  <si>
    <t>[BlockNormalizeCmdLineCommandAllPropByBlock]</t>
  </si>
  <si>
    <t>[BlockNormalizeCmdLineCommandAllPropByLayer]</t>
  </si>
  <si>
    <t>[BlockNormalizeCmdLineCommandBlockExplodableNo]</t>
  </si>
  <si>
    <t>[BlockNormalizeCmdLineCommandBlockExplodableYes]</t>
  </si>
  <si>
    <t>[BlockNormalizeCmdLineCommandBlockScaleNo]</t>
  </si>
  <si>
    <t>[BlockNormalizeCmdLineCommandBlockScaleYes]</t>
  </si>
  <si>
    <t>[BlockNormalizeCmdLineCommandColorByBlock]</t>
  </si>
  <si>
    <t>[BlockNormalizeCmdLineCommandColorByLayer]</t>
  </si>
  <si>
    <t>[BlockNormalizeCmdLineCommandHatchBack]</t>
  </si>
  <si>
    <t>[BlockNormalizeCmdLineCommandLayerZero]</t>
  </si>
  <si>
    <t>[BlockNormalizeCmdLineCommandLinetypeByBlock]</t>
  </si>
  <si>
    <t>[BlockNormalizeCmdLineCommandLinetypeByLayer]</t>
  </si>
  <si>
    <t>[BlockNormalizeCmdLineCommandLineweightByBlock]</t>
  </si>
  <si>
    <t>[BlockNormalizeCmdLineCommandLineweightByLayer]</t>
  </si>
  <si>
    <t>[BlockNormalizeCmdLineCommandLwGlobalWidth]</t>
  </si>
  <si>
    <t>[BlockNormalizeCmdLineCommandWipeOutBack]</t>
  </si>
  <si>
    <t>[ConfigFileNameCommand]</t>
  </si>
  <si>
    <t>[FolderForLogsCommand]</t>
  </si>
  <si>
    <t>[LogOffCommand]</t>
  </si>
  <si>
    <t>[LogOnCommand]</t>
  </si>
  <si>
    <t>[LogSettingsCommand]</t>
  </si>
  <si>
    <t>Расчленение</t>
  </si>
  <si>
    <t>Свойства примитивов</t>
  </si>
  <si>
    <t>Ширина полилиний 0</t>
  </si>
  <si>
    <t>Масштаб</t>
  </si>
  <si>
    <t>RootData</t>
  </si>
  <si>
    <t>RootName</t>
  </si>
  <si>
    <t>drzTools</t>
  </si>
  <si>
    <t>newbtns.dll</t>
  </si>
  <si>
    <t>BEDIT</t>
  </si>
  <si>
    <t>Логирование</t>
  </si>
  <si>
    <t>Топить маскировки</t>
  </si>
  <si>
    <t>Топить</t>
  </si>
  <si>
    <t>Props blocks</t>
  </si>
  <si>
    <t>Команда смесь латин и кирил</t>
  </si>
  <si>
    <t>Команда латиница</t>
  </si>
  <si>
    <t>Алерт</t>
  </si>
  <si>
    <t>Несуществующая команда En</t>
  </si>
  <si>
    <t>Enrrrrrrr</t>
  </si>
  <si>
    <t>тест En</t>
  </si>
  <si>
    <t>Несуществующая команда Ru</t>
  </si>
  <si>
    <t>кирилица_тест</t>
  </si>
  <si>
    <t>тест кур</t>
  </si>
  <si>
    <t>En_алерт</t>
  </si>
  <si>
    <t>Цвет линий по блоку</t>
  </si>
  <si>
    <t>Цвет линий по слою</t>
  </si>
  <si>
    <t>Sort</t>
  </si>
  <si>
    <t>RealCommandName</t>
  </si>
  <si>
    <t>Keyword</t>
  </si>
  <si>
    <t>weight</t>
  </si>
  <si>
    <t>cmdtype</t>
  </si>
  <si>
    <t>Тип линий по блоку</t>
  </si>
  <si>
    <t>Вес линий по блоку</t>
  </si>
  <si>
    <t>Вес линий по слою</t>
  </si>
  <si>
    <t>bool</t>
  </si>
  <si>
    <t>None</t>
  </si>
  <si>
    <t>SmallWithText</t>
  </si>
  <si>
    <t>LargeWithoutText</t>
  </si>
  <si>
    <t>RibbonSplitButtonName</t>
  </si>
  <si>
    <t>ResourceDllName</t>
  </si>
  <si>
    <t>IconName</t>
  </si>
  <si>
    <t>Root</t>
  </si>
  <si>
    <t>ToolTipText</t>
  </si>
  <si>
    <t>open,https://doctorraz.blogspot.com/2022/10/PlotSPDS.NET.html</t>
  </si>
  <si>
    <t>shell_exec</t>
  </si>
  <si>
    <t>Обсуждение_PlotSPDS</t>
  </si>
  <si>
    <t>ИСКЛЮЧИТЬ</t>
  </si>
  <si>
    <t>ДОБАВИТЬ</t>
  </si>
  <si>
    <t>Console</t>
  </si>
  <si>
    <t>Cell(columnNumbers</t>
  </si>
  <si>
    <t>DispNameColumn + 1)</t>
  </si>
  <si>
    <t>InternameColumn + 1)</t>
  </si>
  <si>
    <t>StatusTextColumn + 1)</t>
  </si>
  <si>
    <t>IconColumn + 1)</t>
  </si>
  <si>
    <t>ResourseDllNameColumn + 1)</t>
  </si>
  <si>
    <t>PanelNameColumn + 1)</t>
  </si>
  <si>
    <t>RibbonSplitButtonColumn + 1)</t>
  </si>
  <si>
    <t>RibbonSizeColumn + 1)</t>
  </si>
  <si>
    <t>RootColumn + 1)</t>
  </si>
  <si>
    <t>DontMenuColumn + 1)</t>
  </si>
  <si>
    <t>DontTakeColumn + 1)</t>
  </si>
  <si>
    <t>LocalNameColumn + 1)</t>
  </si>
  <si>
    <t>RealCommandNameColumn + 1)</t>
  </si>
  <si>
    <t>KeywordColumn + 1)</t>
  </si>
  <si>
    <t>WeightColumn + 1)</t>
  </si>
  <si>
    <t>CmdTypeColumn + 1)</t>
  </si>
  <si>
    <t>ToolTipTextColumn + 1)</t>
  </si>
  <si>
    <t>AcceleratorsColumn + 1)</t>
  </si>
  <si>
    <t>.</t>
  </si>
  <si>
    <t>Trim()</t>
  </si>
  <si>
    <t>Contains("ИСКЛЮЧИТЬ",StringComparison.OrdinalIgnoreCase)</t>
  </si>
  <si>
    <t>r.</t>
  </si>
  <si>
    <t>Utils.StringToInt(</t>
  </si>
  <si>
    <t>,10)</t>
  </si>
  <si>
    <t>,1)</t>
  </si>
  <si>
    <t>GetString()</t>
  </si>
  <si>
    <t>,</t>
  </si>
  <si>
    <t>DispName</t>
  </si>
  <si>
    <t>InterName</t>
  </si>
  <si>
    <t>StatusText</t>
  </si>
  <si>
    <t>PanelName</t>
  </si>
  <si>
    <t>RibbonSize</t>
  </si>
  <si>
    <t>LocalName</t>
  </si>
  <si>
    <t>Accelerators</t>
  </si>
  <si>
    <t>DontMenu</t>
  </si>
  <si>
    <t>DontTake</t>
  </si>
  <si>
    <t>Weight</t>
  </si>
  <si>
    <t>CmdType</t>
  </si>
  <si>
    <t>=</t>
  </si>
  <si>
    <t>Цвет</t>
  </si>
  <si>
    <t>Тип</t>
  </si>
  <si>
    <t>Вес</t>
  </si>
  <si>
    <t>Лог</t>
  </si>
  <si>
    <t>Все</t>
  </si>
  <si>
    <t>Домашняя страница blockFix</t>
  </si>
  <si>
    <t>BlockFix</t>
  </si>
  <si>
    <t>Alt+Q</t>
  </si>
  <si>
    <t>AppName</t>
  </si>
  <si>
    <t>Тип линий по слою</t>
  </si>
  <si>
    <t>На ноль</t>
  </si>
  <si>
    <t>Информация о командах</t>
  </si>
  <si>
    <t>Настройки</t>
  </si>
  <si>
    <t>Каталог для  логов</t>
  </si>
  <si>
    <t>Примитивы на слой 0</t>
  </si>
  <si>
    <t>DispNameColumn</t>
  </si>
  <si>
    <t>InternameColumn</t>
  </si>
  <si>
    <t>StatusTextColumn</t>
  </si>
  <si>
    <t>PanelNameColumn</t>
  </si>
  <si>
    <t>RibbonSizeColumn</t>
  </si>
  <si>
    <t>RibbonSplitButtonColumn</t>
  </si>
  <si>
    <t>DontTakeColumn</t>
  </si>
  <si>
    <t>ResourseDllNameColumn</t>
  </si>
  <si>
    <t>IconColumn</t>
  </si>
  <si>
    <t>AppNameColumn</t>
  </si>
  <si>
    <t>LocalNameColumn</t>
  </si>
  <si>
    <t>RealCommandNameColumn</t>
  </si>
  <si>
    <t>KeywordColumn</t>
  </si>
  <si>
    <t>WeightColumn</t>
  </si>
  <si>
    <t>CmdTypeColumn</t>
  </si>
  <si>
    <t>ToolTipTextColumn</t>
  </si>
  <si>
    <t>AcceleratorsColumn</t>
  </si>
  <si>
    <t>;</t>
  </si>
  <si>
    <t>AddonName</t>
  </si>
  <si>
    <t>AddonNameColumn</t>
  </si>
  <si>
    <t>HideCommandColumn</t>
  </si>
  <si>
    <t>HideCommand</t>
  </si>
  <si>
    <t>Обязательные</t>
  </si>
  <si>
    <t>Необязательные</t>
  </si>
  <si>
    <t>Не учитываются</t>
  </si>
  <si>
    <t>-drz-block-Lineweight-ByBlock|sep</t>
  </si>
  <si>
    <t>-drz-block-Color-ByBlock|</t>
  </si>
  <si>
    <t>Separator</t>
  </si>
  <si>
    <t>blockFix</t>
  </si>
  <si>
    <t>-drz-block-Linetype-ByBlock|</t>
  </si>
  <si>
    <t>-drz-block-LayerZero|</t>
  </si>
  <si>
    <t>drz-log-settings|</t>
  </si>
  <si>
    <t>drz_block_home_link|</t>
  </si>
  <si>
    <t>Инфо|</t>
  </si>
  <si>
    <t>VirtualPanel</t>
  </si>
  <si>
    <t>|</t>
  </si>
  <si>
    <t>---</t>
  </si>
  <si>
    <t>Параметр</t>
  </si>
  <si>
    <t>|2</t>
  </si>
  <si>
    <t>|3</t>
  </si>
  <si>
    <t>|4</t>
  </si>
  <si>
    <t>Коменты</t>
  </si>
  <si>
    <t>Комент</t>
  </si>
  <si>
    <t>формула</t>
  </si>
  <si>
    <t>Название сплитера ленты, если пусто иконки не будут прятаться под сплитер</t>
  </si>
  <si>
    <t>Локализованное имя команды</t>
  </si>
  <si>
    <t>Горячие клавиши</t>
  </si>
  <si>
    <t>Ключевое слово</t>
  </si>
  <si>
    <t>Реальное имя команды</t>
  </si>
  <si>
    <t>test</t>
  </si>
  <si>
    <t>Панель</t>
  </si>
  <si>
    <t>Всплывающая подсказка</t>
  </si>
  <si>
    <t>Виртуальная панель.  Не используется</t>
  </si>
  <si>
    <t>Разделитель. Не используется</t>
  </si>
  <si>
    <t>ИСКЛЮЧИТЬ ДОБАВИТЬ</t>
  </si>
  <si>
    <t>Имя ресурсной dll. Обязательно, если установлен IconName, либо название иконки</t>
  </si>
  <si>
    <t>newbtns.dll constr-50.ico test.bmp</t>
  </si>
  <si>
    <t>блок_почистить</t>
  </si>
  <si>
    <t>Не регистрировать команду, эта строка будет пропущена если значение ИСКЛЮЧИТЬ</t>
  </si>
  <si>
    <t>Команду зарегистрировать, но не показывать в интерфейсе, если ИСКЛЮЧИТЬ</t>
  </si>
  <si>
    <t>Название иконки, из ресурсной dll, только если в ResourceDllName имя библиотеки, иначе ничего</t>
  </si>
  <si>
    <t>Приложение, может быть пустым, иначе верхний уровень меню</t>
  </si>
  <si>
    <t>Аддон, может быть пустым, иначе подменю под главным меню</t>
  </si>
  <si>
    <t>Вес команды, по умолчанию 10</t>
  </si>
  <si>
    <t>Контекст выполнения команды, по умолчанию 1-контекст документа, если 0-контекст приложения</t>
  </si>
  <si>
    <t>число</t>
  </si>
  <si>
    <t>число 0 или 1</t>
  </si>
  <si>
    <t>текст</t>
  </si>
  <si>
    <t>-</t>
  </si>
  <si>
    <t>Пример</t>
  </si>
  <si>
    <t>Параметр|Пример|Описание|Комментарий|</t>
  </si>
  <si>
    <t>|Параметр|Пример|Описание|Комментарий|</t>
  </si>
  <si>
    <t>Служебные|</t>
  </si>
  <si>
    <t>cndType</t>
  </si>
  <si>
    <t>IsVirtualPanel</t>
  </si>
  <si>
    <t>BlockFix 2</t>
  </si>
  <si>
    <t>LAYER</t>
  </si>
  <si>
    <t>LAYERSQUICK</t>
  </si>
  <si>
    <t>ColorReduction</t>
  </si>
  <si>
    <t>ColorSeparation</t>
  </si>
  <si>
    <t>STYLEEDITCMD</t>
  </si>
  <si>
    <t>LAYTRANS</t>
  </si>
  <si>
    <t>ViewShowWidth</t>
  </si>
  <si>
    <t>COPYTOLAYER</t>
  </si>
  <si>
    <t>LAYERSCMD</t>
  </si>
  <si>
    <t>Lineweight</t>
  </si>
  <si>
    <t>VIEWROTATE2</t>
  </si>
  <si>
    <t>RotateAtAngle</t>
  </si>
  <si>
    <t>ATTIPEDIT</t>
  </si>
  <si>
    <t>eattedit</t>
  </si>
  <si>
    <t>HIDEOBJECTS</t>
  </si>
  <si>
    <t>NPC_INFO</t>
  </si>
  <si>
    <t>ABOUT</t>
  </si>
  <si>
    <t xml:space="preserve"> </t>
  </si>
  <si>
    <t>QPDF</t>
  </si>
  <si>
    <t>Монохромный PDF</t>
  </si>
  <si>
    <t>Оформление</t>
  </si>
  <si>
    <t>QPDF_BW16</t>
  </si>
  <si>
    <t>QPDF_Color</t>
  </si>
  <si>
    <t>Цветной PDF</t>
  </si>
  <si>
    <t>QPDF_COLOR16</t>
  </si>
  <si>
    <t>QPDF_Custom</t>
  </si>
  <si>
    <t>Пользовательский стиль PDF</t>
  </si>
  <si>
    <t>QPDF_CUSTOM16</t>
  </si>
  <si>
    <t>Настройки PDF</t>
  </si>
  <si>
    <t>QFIT</t>
  </si>
  <si>
    <t>Настроить форматку</t>
  </si>
  <si>
    <t>FIX_dynamic_frame</t>
  </si>
  <si>
    <t>Исправить форматку</t>
  </si>
  <si>
    <t>QPDF_home_link</t>
  </si>
  <si>
    <t>open,http://samnipi-bim.rosneft.ru/books/nanocad/page/qpdf-nanocad</t>
  </si>
  <si>
    <t>Домашняя страница QPDF</t>
  </si>
  <si>
    <t>QPDF\qpdf_IconCollection.dll</t>
  </si>
  <si>
    <t>QPDF_Custom|</t>
  </si>
  <si>
    <t>QPDF_settings</t>
  </si>
  <si>
    <t>Рамка</t>
  </si>
  <si>
    <t>QRStart</t>
  </si>
  <si>
    <t>Вставить QR-код</t>
  </si>
  <si>
    <t>qrcode_32</t>
  </si>
  <si>
    <t>Заполнить штамп</t>
  </si>
  <si>
    <t>QRtempProp</t>
  </si>
  <si>
    <t>ПД. Заменить рамку</t>
  </si>
  <si>
    <t>ramka_32</t>
  </si>
  <si>
    <t>^C^C(command "_-insert" "A1_landscape=//fs21402/Templates/AutoCAD/СамараНИПИнефть/A1_landscape_PD.dwg")(command)(vl-load-com) (vlax-for block (vla-get-blocks (vla-get-activedocument (vlax-get-acad-object))) (if (and (= (vla-get-islayout block) :vlax-false) (= (vla-get-isxref block) :vlax-false) (= (strcase (vla-get-name block)) "A1_LANDSCAPE")) (vl-cmdf "_.attsync" "_name" (vla-get-name block))))(command "_.-STYLE" "ГОСТ" "spds.shx" "" "0.8" "" "" "")</t>
  </si>
  <si>
    <t>ramka_upd32</t>
  </si>
  <si>
    <t>РД. Заменить рамку</t>
  </si>
  <si>
    <t>Разбить по листам</t>
  </si>
  <si>
    <t>RCDATA_32_DWGCONVERT</t>
  </si>
  <si>
    <t>open,http://samnipi-bim.rosneft.ru/books/poleznaia-avtomatizaciia/page/utilita-dlia-zapolneniia-ramki-v-autocad</t>
  </si>
  <si>
    <t>QR_help</t>
  </si>
  <si>
    <t>RCDATA_32_HELP</t>
  </si>
  <si>
    <t>QRtempProp|</t>
  </si>
  <si>
    <t>ПД. Заменить рамку|</t>
  </si>
  <si>
    <t>РД. Заменить рамку|</t>
  </si>
  <si>
    <t>QR\QR_IconCollection.dll</t>
  </si>
  <si>
    <t>QR_RD</t>
  </si>
  <si>
    <t>QR_PD|</t>
  </si>
  <si>
    <t>QRSplitLists|</t>
  </si>
  <si>
    <t>Сапсан 2020</t>
  </si>
  <si>
    <t>IDI_ICON1</t>
  </si>
  <si>
    <t>SAPSANPLUSLOAD</t>
  </si>
  <si>
    <t>Сохранить в Сапсан 2020</t>
  </si>
  <si>
    <t>DWGPublicatorNano_24\MenuRes.dll</t>
  </si>
  <si>
    <t>Справка по публикации в Сапсан</t>
  </si>
  <si>
    <t>SAPSANPLUSHELP|</t>
  </si>
  <si>
    <t>open,http://samnipi-bim.rosneft.ru/books/instrukcii-dlia-polzovatelei/page/obshhie-instrukcii#bkmrk-%D0%9F%D1%83%D0%B1%D0%BB%D0%B8%D0%BA%D0%B0%D1%86%D0%B8%D1%8F-%D0%B4%D0%BE%D0%BA%D1%83%D0%BC%D0%B5%D0%BD%D1%82%D0%B0:~:text=%D0%9F%D1%83%D0%B1%D0%BB%D0%B8%D0%BA%D0%B0%D1%86%D0%B8%D1%8F%20%D0%B4%D0%BE%D0%BA%D1%83%D0%BC%D0%B5%D0%BD%D1%82%D0%B0%D1%86%D0%B8%D0%B8%20%D0%B2%20%D0%A1%D0%B0%D0%BF%D1%81%D0%B0%D0%BD%2B%20%D0%BF%D1%80%D0%BE%D0%B8%D1%81%D1%85%D0%BE%D0%B4%D0%B8%D1%82%20%D1%81%20%D0%BF%D0%BE%D0%BC%D0%BE%D1%89%D1%8C%D1%8E%3A</t>
  </si>
  <si>
    <t>Настройки QPDF</t>
  </si>
  <si>
    <t>Обновить границы</t>
  </si>
  <si>
    <t>Справка QPDF</t>
  </si>
  <si>
    <t>Справка Рамка</t>
  </si>
  <si>
    <t>Справка Сапсан</t>
  </si>
  <si>
    <t>{[QFIT]</t>
  </si>
  <si>
    <t>QPDF\Qpdf_Res.dll</t>
  </si>
  <si>
    <t>QPDF_BW</t>
  </si>
  <si>
    <t>QPDF_COLOR</t>
  </si>
  <si>
    <t>QPDF_CUSTOM</t>
  </si>
  <si>
    <t>Options</t>
  </si>
  <si>
    <t>Help</t>
  </si>
  <si>
    <t>QRSplitLists</t>
  </si>
  <si>
    <t>{[QR_PD]</t>
  </si>
  <si>
    <t>[QR_RD]</t>
  </si>
  <si>
    <t>QR\QRcode_Res.dll</t>
  </si>
  <si>
    <t>ramka_upd</t>
  </si>
  <si>
    <t>HELP</t>
  </si>
  <si>
    <t>QRsplitLists</t>
  </si>
  <si>
    <t>[QPDF_home_link]}</t>
  </si>
  <si>
    <t>[QPDF_settings]|</t>
  </si>
  <si>
    <t>[QR_help]}|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</si>
</sst>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  <scheme val="minor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4"/>
      <color rgb="FF000000"/>
      <name val="Arial"/>
      <family val="2"/>
      <charset val="204"/>
      <scheme val="minor"/>
    </font>
    <font>
      <sz val="10"/>
      <color rgb="FF000000"/>
      <name val="Arial"/>
      <family val="2"/>
      <charset val="204"/>
      <scheme val="minor"/>
    </font>
    <font>
      <sz val="10"/>
      <color theme="1"/>
      <name val="Arial"/>
      <family val="2"/>
      <charset val="204"/>
    </font>
    <font>
      <b/>
      <sz val="14"/>
      <color theme="0"/>
      <name val="Arial"/>
      <family val="2"/>
      <charset val="204"/>
      <scheme val="minor"/>
    </font>
    <font>
      <b/>
      <sz val="14"/>
      <color rgb="FF000000"/>
      <name val="Arial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2"/>
      <name val="Arial"/>
      <family val="2"/>
      <charset val="204"/>
    </font>
    <font>
      <sz val="12"/>
      <color rgb="FF000000"/>
      <name val="Arial"/>
      <family val="2"/>
      <charset val="204"/>
      <scheme val="minor"/>
    </font>
    <font>
      <b/>
      <sz val="10"/>
      <color rgb="FFFF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2"/>
      <name val="Arial"/>
      <family val="2"/>
      <charset val="204"/>
    </font>
    <font>
      <b/>
      <sz val="12"/>
      <color theme="1"/>
      <name val="Arial"/>
      <family val="2"/>
      <charset val="204"/>
    </font>
    <font>
      <sz val="9"/>
      <color rgb="FFA31515"/>
      <name val="Cascadia Mono"/>
      <family val="3"/>
      <charset val="204"/>
    </font>
    <font>
      <sz val="10"/>
      <color theme="1"/>
      <name val="Arial"/>
    </font>
  </fonts>
  <fills count="15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3C78D8"/>
        <bgColor rgb="FF3C78D8"/>
      </patternFill>
    </fill>
    <fill>
      <patternFill patternType="solid">
        <fgColor rgb="FFFFFF00"/>
        <bgColor rgb="FFFFFF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rgb="FF93C47D"/>
      </patternFill>
    </fill>
    <fill>
      <patternFill patternType="solid">
        <fgColor theme="0" tint="-0.14999847407452621"/>
        <bgColor rgb="FF93C47D"/>
      </patternFill>
    </fill>
    <fill>
      <patternFill patternType="solid">
        <fgColor theme="5" tint="0.79998168889431442"/>
        <bgColor rgb="FF93C47D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3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4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vertical="center" wrapText="1"/>
    </xf>
    <xf numFmtId="0" fontId="2" fillId="0" borderId="5" xfId="0" applyFont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0" borderId="0" xfId="0" applyNumberFormat="1"/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3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3" fillId="0" borderId="3" xfId="0" applyFont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49" fontId="2" fillId="0" borderId="2" xfId="0" applyNumberFormat="1" applyFont="1" applyBorder="1" applyAlignment="1">
      <alignment vertical="center" wrapText="1"/>
    </xf>
    <xf numFmtId="0" fontId="6" fillId="0" borderId="0" xfId="0" applyFont="1"/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0" fontId="2" fillId="12" borderId="3" xfId="0" applyFont="1" applyFill="1" applyBorder="1" applyAlignment="1">
      <alignment vertical="center" wrapText="1"/>
    </xf>
    <xf numFmtId="0" fontId="0" fillId="13" borderId="1" xfId="0" applyFill="1" applyBorder="1" applyAlignment="1">
      <alignment vertical="center" wrapText="1"/>
    </xf>
    <xf numFmtId="49" fontId="0" fillId="13" borderId="1" xfId="0" applyNumberFormat="1" applyFill="1" applyBorder="1" applyAlignment="1">
      <alignment vertical="center" wrapText="1"/>
    </xf>
    <xf numFmtId="0" fontId="2" fillId="13" borderId="1" xfId="0" applyFont="1" applyFill="1" applyBorder="1" applyAlignment="1">
      <alignment vertical="center" wrapText="1"/>
    </xf>
    <xf numFmtId="49" fontId="2" fillId="13" borderId="1" xfId="0" applyNumberFormat="1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3" fillId="13" borderId="1" xfId="0" applyFont="1" applyFill="1" applyBorder="1" applyAlignment="1">
      <alignment vertical="center" wrapText="1"/>
    </xf>
    <xf numFmtId="0" fontId="0" fillId="13" borderId="0" xfId="0" applyFill="1"/>
    <xf numFmtId="0" fontId="3" fillId="13" borderId="3" xfId="0" applyFont="1" applyFill="1" applyBorder="1" applyAlignment="1">
      <alignment vertical="center" wrapText="1"/>
    </xf>
    <xf numFmtId="49" fontId="0" fillId="13" borderId="1" xfId="0" applyNumberFormat="1" applyFill="1" applyBorder="1" applyAlignment="1">
      <alignment vertical="top" wrapText="1"/>
    </xf>
    <xf numFmtId="0" fontId="0" fillId="14" borderId="1" xfId="0" applyFill="1" applyBorder="1" applyAlignment="1">
      <alignment vertical="center" wrapText="1"/>
    </xf>
    <xf numFmtId="0" fontId="2" fillId="14" borderId="1" xfId="0" applyFont="1" applyFill="1" applyBorder="1" applyAlignment="1">
      <alignment vertical="center" wrapText="1"/>
    </xf>
    <xf numFmtId="49" fontId="2" fillId="14" borderId="1" xfId="0" applyNumberFormat="1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vertical="center" wrapText="1"/>
    </xf>
    <xf numFmtId="0" fontId="3" fillId="14" borderId="1" xfId="0" applyFont="1" applyFill="1" applyBorder="1" applyAlignment="1">
      <alignment vertical="center" wrapText="1"/>
    </xf>
    <xf numFmtId="0" fontId="0" fillId="14" borderId="0" xfId="0" applyFill="1"/>
    <xf numFmtId="49" fontId="0" fillId="14" borderId="1" xfId="0" applyNumberFormat="1" applyFill="1" applyBorder="1" applyAlignment="1">
      <alignment vertical="center" wrapText="1"/>
    </xf>
    <xf numFmtId="0" fontId="3" fillId="14" borderId="3" xfId="0" applyFont="1" applyFill="1" applyBorder="1" applyAlignment="1">
      <alignment vertical="center" wrapText="1"/>
    </xf>
    <xf numFmtId="0" fontId="5" fillId="8" borderId="0" xfId="0" applyFont="1" applyFill="1" applyAlignment="1">
      <alignment horizontal="center"/>
    </xf>
    <xf numFmtId="49" fontId="0" fillId="0" borderId="1" xfId="0" applyNumberFormat="1" applyBorder="1" applyAlignment="1">
      <alignment vertical="center" wrapText="1"/>
    </xf>
    <xf numFmtId="49" fontId="7" fillId="0" borderId="2" xfId="0" applyNumberFormat="1" applyFont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49" fontId="6" fillId="13" borderId="1" xfId="0" applyNumberFormat="1" applyFont="1" applyFill="1" applyBorder="1" applyAlignment="1">
      <alignment vertical="center" wrapText="1"/>
    </xf>
    <xf numFmtId="0" fontId="7" fillId="6" borderId="3" xfId="0" applyFont="1" applyFill="1" applyBorder="1" applyAlignment="1">
      <alignment vertical="center" wrapText="1"/>
    </xf>
    <xf numFmtId="0" fontId="12" fillId="0" borderId="0" xfId="0" applyFont="1"/>
    <xf numFmtId="49" fontId="0" fillId="0" borderId="0" xfId="0" quotePrefix="1" applyNumberFormat="1"/>
    <xf numFmtId="49" fontId="6" fillId="0" borderId="0" xfId="0" applyNumberFormat="1" applyFont="1"/>
    <xf numFmtId="0" fontId="11" fillId="9" borderId="1" xfId="0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wrapText="1"/>
    </xf>
    <xf numFmtId="0" fontId="0" fillId="0" borderId="0" xfId="0" quotePrefix="1"/>
    <xf numFmtId="0" fontId="13" fillId="11" borderId="1" xfId="0" applyFont="1" applyFill="1" applyBorder="1" applyAlignment="1">
      <alignment horizontal="center" vertical="center" wrapText="1"/>
    </xf>
    <xf numFmtId="49" fontId="6" fillId="14" borderId="1" xfId="0" applyNumberFormat="1" applyFont="1" applyFill="1" applyBorder="1" applyAlignment="1">
      <alignment vertical="center" wrapText="1"/>
    </xf>
    <xf numFmtId="0" fontId="14" fillId="11" borderId="3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center" vertical="center" wrapText="1"/>
    </xf>
    <xf numFmtId="0" fontId="16" fillId="10" borderId="3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0" fontId="0" fillId="6" borderId="1" xfId="0" applyFill="1" applyBorder="1" applyAlignment="1">
      <alignment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 wrapText="1"/>
    </xf>
    <xf numFmtId="49" fontId="6" fillId="12" borderId="1" xfId="0" applyNumberFormat="1" applyFont="1" applyFill="1" applyBorder="1" applyAlignment="1">
      <alignment vertical="center" wrapText="1"/>
    </xf>
    <xf numFmtId="0" fontId="6" fillId="12" borderId="1" xfId="0" applyFont="1" applyFill="1" applyBorder="1" applyAlignment="1">
      <alignment vertical="center" wrapText="1"/>
    </xf>
    <xf numFmtId="0" fontId="2" fillId="12" borderId="1" xfId="0" applyFont="1" applyFill="1" applyBorder="1" applyAlignment="1">
      <alignment vertical="center" wrapText="1"/>
    </xf>
    <xf numFmtId="0" fontId="0" fillId="12" borderId="1" xfId="0" applyFill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49" fontId="0" fillId="12" borderId="1" xfId="0" applyNumberFormat="1" applyFill="1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vertical="top" wrapText="1"/>
    </xf>
    <xf numFmtId="0" fontId="11" fillId="9" borderId="3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vertical="center" wrapText="1"/>
    </xf>
    <xf numFmtId="0" fontId="6" fillId="14" borderId="1" xfId="0" applyFont="1" applyFill="1" applyBorder="1" applyAlignment="1">
      <alignment vertical="center" wrapText="1"/>
    </xf>
    <xf numFmtId="49" fontId="2" fillId="14" borderId="2" xfId="0" applyNumberFormat="1" applyFont="1" applyFill="1" applyBorder="1" applyAlignment="1">
      <alignment vertical="center" wrapText="1"/>
    </xf>
    <xf numFmtId="0" fontId="2" fillId="14" borderId="2" xfId="0" applyFont="1" applyFill="1" applyBorder="1" applyAlignment="1">
      <alignment vertical="center" wrapText="1"/>
    </xf>
    <xf numFmtId="49" fontId="2" fillId="14" borderId="2" xfId="0" applyNumberFormat="1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vertical="center" wrapText="1"/>
    </xf>
    <xf numFmtId="0" fontId="2" fillId="6" borderId="2" xfId="0" applyFont="1" applyFill="1" applyBorder="1" applyAlignment="1">
      <alignment vertical="center" wrapText="1"/>
    </xf>
    <xf numFmtId="0" fontId="2" fillId="14" borderId="4" xfId="0" applyFont="1" applyFill="1" applyBorder="1" applyAlignment="1">
      <alignment vertical="center" wrapText="1"/>
    </xf>
    <xf numFmtId="0" fontId="2" fillId="14" borderId="4" xfId="0" applyNumberFormat="1" applyFont="1" applyFill="1" applyBorder="1" applyAlignment="1">
      <alignment vertical="center" wrapText="1"/>
    </xf>
    <xf numFmtId="49" fontId="2" fillId="13" borderId="2" xfId="0" applyNumberFormat="1" applyFont="1" applyFill="1" applyBorder="1" applyAlignment="1">
      <alignment horizontal="center" vertical="center" wrapText="1"/>
    </xf>
    <xf numFmtId="49" fontId="18" fillId="14" borderId="2" xfId="0" applyNumberFormat="1" applyFont="1" applyFill="1" applyBorder="1" applyAlignment="1">
      <alignment vertical="center" wrapText="1"/>
    </xf>
    <xf numFmtId="0" fontId="18" fillId="6" borderId="2" xfId="0" applyFont="1" applyFill="1" applyBorder="1" applyAlignment="1">
      <alignment vertical="center" wrapText="1"/>
    </xf>
    <xf numFmtId="0" fontId="18" fillId="14" borderId="2" xfId="0" applyFont="1" applyFill="1" applyBorder="1" applyAlignment="1">
      <alignment vertical="center" wrapText="1"/>
    </xf>
    <xf numFmtId="49" fontId="18" fillId="14" borderId="2" xfId="0" applyNumberFormat="1" applyFont="1" applyFill="1" applyBorder="1" applyAlignment="1">
      <alignment horizontal="center" vertical="center" wrapText="1"/>
    </xf>
    <xf numFmtId="0" fontId="18" fillId="6" borderId="4" xfId="0" applyFont="1" applyFill="1" applyBorder="1" applyAlignment="1">
      <alignment vertical="center" wrapText="1"/>
    </xf>
    <xf numFmtId="0" fontId="18" fillId="14" borderId="4" xfId="0" applyFont="1" applyFill="1" applyBorder="1" applyAlignment="1">
      <alignment vertical="center" wrapText="1"/>
    </xf>
    <xf numFmtId="0" fontId="18" fillId="14" borderId="4" xfId="0" applyNumberFormat="1" applyFont="1" applyFill="1" applyBorder="1" applyAlignment="1">
      <alignment vertical="center" wrapText="1"/>
    </xf>
    <xf numFmtId="49" fontId="18" fillId="13" borderId="2" xfId="0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</cellXfs>
  <cellStyles count="1">
    <cellStyle name="Обычный" xfId="0" builtinId="0"/>
  </cellStyles>
  <dxfs count="245">
    <dxf>
      <fill>
        <patternFill>
          <bgColor indexed="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93C47D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scheme val="none"/>
      </font>
      <numFmt numFmtId="0" formatCode="General"/>
      <fill>
        <patternFill patternType="solid">
          <fgColor rgb="FF93C47D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</dxf>
    <dxf>
      <numFmt numFmtId="0" formatCode="General"/>
    </dxf>
    <dxf>
      <fill>
        <patternFill>
          <bgColor indexed="42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NUL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152400</xdr:rowOff>
        </xdr:from>
        <xdr:to>
          <xdr:col>6</xdr:col>
          <xdr:colOff>1057275</xdr:colOff>
          <xdr:row>2</xdr:row>
          <xdr:rowOff>47625</xdr:rowOff>
        </xdr:to>
        <xdr:sp macro="" textlink="">
          <xdr:nvSpPr>
            <xdr:cNvPr id="8213" name="CheckBox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="" xmlns:a16="http://schemas.microsoft.com/office/drawing/2014/main" id="{00000000-0008-0000-02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DK/&#1056;&#1072;&#1079;&#1088;&#1072;&#1073;&#1086;&#1090;&#1082;&#1072;%20&#1084;&#1077;&#1085;&#1102;/MenuFilesGen%201.0.9369/example/&#1057;&#1072;&#1084;&#1072;&#1088;&#1072;%20&#1056;&#1053;%20&#1055;&#104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дстройки"/>
      <sheetName val="Enum"/>
      <sheetName val="Команды"/>
      <sheetName val="Обязательные"/>
      <sheetName val="Необязательные"/>
      <sheetName val="BlockFix+TBS"/>
      <sheetName val="ColumnNumbers"/>
      <sheetName val="cm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3" name="Таблица2474" displayName="Таблица2474" ref="A3:U17" totalsRowShown="0" headerRowDxfId="224" dataDxfId="222" headerRowBorderDxfId="223" tableBorderDxfId="221">
  <autoFilter ref="A3:U17"/>
  <tableColumns count="21">
    <tableColumn id="2" name="InterName" dataDxfId="220"/>
    <tableColumn id="1" name="DispName" dataDxfId="219"/>
    <tableColumn id="4" name="PanelName" dataDxfId="218"/>
    <tableColumn id="5" name="RibbonSize" dataDxfId="217"/>
    <tableColumn id="6" name="RibbonSplitButtonName" dataDxfId="216"/>
    <tableColumn id="12" name="ResourceDllName" dataDxfId="215"/>
    <tableColumn id="13" name="IconName" dataDxfId="214"/>
    <tableColumn id="14" name="AppName" dataDxfId="213"/>
    <tableColumn id="23" name="AddonName" dataDxfId="212"/>
    <tableColumn id="21" name="LocalName" dataDxfId="211"/>
    <tableColumn id="18" name="RealCommandName" dataDxfId="210"/>
    <tableColumn id="17" name="Keyword" dataDxfId="209"/>
    <tableColumn id="20" name="weight" dataDxfId="208"/>
    <tableColumn id="19" name="cmdtype" dataDxfId="207"/>
    <tableColumn id="3" name="StatusText" dataDxfId="206"/>
    <tableColumn id="15" name="ToolTipText" dataDxfId="205">
      <calculatedColumnFormula xml:space="preserve"> Таблица2474[[#This Row],[StatusText]]&amp; " подсказки"</calculatedColumnFormula>
    </tableColumn>
    <tableColumn id="22" name="Accelerators" dataDxfId="204"/>
    <tableColumn id="7" name="DontTake" dataDxfId="203"/>
    <tableColumn id="8" name="HideCommand" dataDxfId="202"/>
    <tableColumn id="10" name="IsVirtualPanel" dataDxfId="201"/>
    <tableColumn id="16" name="Sort" dataDxfId="20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Таблица24748" displayName="Таблица24748" ref="A3:U16" totalsRowShown="0" headerRowDxfId="191" dataDxfId="189" headerRowBorderDxfId="190" tableBorderDxfId="188">
  <autoFilter ref="A3:U16"/>
  <tableColumns count="21">
    <tableColumn id="2" name="InterName" dataDxfId="187"/>
    <tableColumn id="1" name="DispName" dataDxfId="186"/>
    <tableColumn id="4" name="PanelName" dataDxfId="185"/>
    <tableColumn id="5" name="RibbonSize" dataDxfId="184"/>
    <tableColumn id="6" name="RibbonSplitButtonName" dataDxfId="183"/>
    <tableColumn id="12" name="ResourceDllName" dataDxfId="182"/>
    <tableColumn id="13" name="IconName" dataDxfId="181"/>
    <tableColumn id="14" name="AppName" dataDxfId="180"/>
    <tableColumn id="23" name="AddonName" dataDxfId="179"/>
    <tableColumn id="21" name="LocalName" dataDxfId="178"/>
    <tableColumn id="18" name="RealCommandName" dataDxfId="177"/>
    <tableColumn id="17" name="Keyword" dataDxfId="176"/>
    <tableColumn id="20" name="weight" dataDxfId="175"/>
    <tableColumn id="19" name="cmdtype" dataDxfId="174"/>
    <tableColumn id="3" name="StatusText" dataDxfId="173"/>
    <tableColumn id="15" name="ToolTipText" dataDxfId="172">
      <calculatedColumnFormula xml:space="preserve"> Таблица24748[[#This Row],[StatusText]]&amp; " подсказки"</calculatedColumnFormula>
    </tableColumn>
    <tableColumn id="22" name="Accelerators" dataDxfId="171"/>
    <tableColumn id="7" name="DontTake" dataDxfId="170"/>
    <tableColumn id="8" name="HideCommand" dataDxfId="169"/>
    <tableColumn id="10" name="IsVirtualPanel" dataDxfId="168"/>
    <tableColumn id="16" name="Sort" dataDxfId="1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Таблица24747" displayName="Таблица24747" ref="A3:U20" totalsRowShown="0" headerRowDxfId="163" dataDxfId="161" headerRowBorderDxfId="162" tableBorderDxfId="160">
  <autoFilter ref="A3:U20"/>
  <tableColumns count="21">
    <tableColumn id="2" name="InterName" dataDxfId="159"/>
    <tableColumn id="1" name="DispName" dataDxfId="158"/>
    <tableColumn id="4" name="PanelName" dataDxfId="157"/>
    <tableColumn id="5" name="RibbonSize" dataDxfId="156"/>
    <tableColumn id="6" name="RibbonSplitButtonName" dataDxfId="155"/>
    <tableColumn id="12" name="ResourceDllName" dataDxfId="154"/>
    <tableColumn id="13" name="IconName" dataDxfId="153"/>
    <tableColumn id="14" name="AppName" dataDxfId="152"/>
    <tableColumn id="23" name="AddonName" dataDxfId="151"/>
    <tableColumn id="21" name="LocalName" dataDxfId="150"/>
    <tableColumn id="18" name="RealCommandName" dataDxfId="149"/>
    <tableColumn id="17" name="Keyword" dataDxfId="148"/>
    <tableColumn id="20" name="weight" dataDxfId="147"/>
    <tableColumn id="19" name="cmdtype" dataDxfId="146"/>
    <tableColumn id="3" name="StatusText" dataDxfId="145"/>
    <tableColumn id="15" name="ToolTipText" dataDxfId="144">
      <calculatedColumnFormula xml:space="preserve"> Таблица24747[[#This Row],[StatusText]]&amp; " подсказки"</calculatedColumnFormula>
    </tableColumn>
    <tableColumn id="22" name="Accelerators" dataDxfId="143"/>
    <tableColumn id="7" name="DontTake" dataDxfId="142"/>
    <tableColumn id="8" name="HideCommand" dataDxfId="141"/>
    <tableColumn id="10" name="IsVirtualPanel" dataDxfId="140"/>
    <tableColumn id="16" name="Sort" dataDxfId="1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Таблица1" displayName="Таблица1" ref="A1:K5" totalsRowShown="0" headerRowDxfId="125" dataDxfId="123" headerRowBorderDxfId="124" tableBorderDxfId="122">
  <autoFilter ref="A1:K5"/>
  <tableColumns count="11">
    <tableColumn id="1" name="Имя команды" dataDxfId="121"/>
    <tableColumn id="2" name="Внутреннее имя" dataDxfId="120"/>
    <tableColumn id="3" name="Описание" dataDxfId="119"/>
    <tableColumn id="4" name="Имя панели" dataDxfId="118"/>
    <tableColumn id="5" name="Размер в ленте" dataDxfId="117"/>
    <tableColumn id="6" name="RibbonSplitButton" dataDxfId="116"/>
    <tableColumn id="7" name="Не учитывать" dataDxfId="115"/>
    <tableColumn id="8" name="Зарегистрировать, но не отображать в меню" dataDxfId="114"/>
    <tableColumn id="9" name="Комментарий" dataDxfId="113"/>
    <tableColumn id="10" name="Приоритетность справки" dataDxfId="112"/>
    <tableColumn id="11" name="Видео" dataDxfId="1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Таблица4" displayName="Таблица4" ref="A1:I7" totalsRowShown="0" headerRowDxfId="97" dataDxfId="96">
  <autoFilter ref="A1:I7"/>
  <tableColumns count="9">
    <tableColumn id="1" name="Параметр" dataDxfId="95"/>
    <tableColumn id="2" name="|" dataDxfId="94"/>
    <tableColumn id="3" name="Пример" dataDxfId="93"/>
    <tableColumn id="4" name="|2" dataDxfId="92"/>
    <tableColumn id="5" name="Описание" dataDxfId="91">
      <calculatedColumnFormula>ТЕКСТКОММЕНТА(A2)</calculatedColumnFormula>
    </tableColumn>
    <tableColumn id="6" name="|3" dataDxfId="90"/>
    <tableColumn id="7" name="Комментарий" dataDxfId="89"/>
    <tableColumn id="8" name="|4" dataDxfId="88"/>
    <tableColumn id="9" name="|Параметр|Пример|Описание|Комментарий|" dataDxfId="87">
      <calculatedColumnFormula>"|"&amp;A2&amp;B2&amp;C2&amp;D2&amp;E2&amp;F2&amp;G2&amp;H2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Таблица5" displayName="Таблица5" ref="A1:I18" totalsRowShown="0" headerRowDxfId="62">
  <autoFilter ref="A1:I18"/>
  <tableColumns count="9">
    <tableColumn id="1" name="Параметр" dataDxfId="61"/>
    <tableColumn id="2" name="|" dataDxfId="60"/>
    <tableColumn id="3" name="Пример"/>
    <tableColumn id="4" name="|2" dataDxfId="59"/>
    <tableColumn id="5" name="Описание">
      <calculatedColumnFormula>ТЕКСТКОММЕНТА(A2)</calculatedColumnFormula>
    </tableColumn>
    <tableColumn id="6" name="|3" dataDxfId="58"/>
    <tableColumn id="7" name="Комментарий"/>
    <tableColumn id="8" name="|4" dataDxfId="57"/>
    <tableColumn id="9" name="Параметр|Пример|Описание|Комментарий|" dataDxfId="56">
      <calculatedColumnFormula>A2&amp;A2&amp;B2&amp;C2&amp;D2&amp;E2&amp;F2&amp;G2&amp;H2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Таблица2" displayName="Таблица2" ref="A1:O145" totalsRowShown="0" headerRowDxfId="19" dataDxfId="17" headerRowBorderDxfId="18" tableBorderDxfId="16">
  <autoFilter ref="A1:O145"/>
  <tableColumns count="15">
    <tableColumn id="1" name="Имя команды" dataDxfId="15"/>
    <tableColumn id="2" name="Внутреннее имя" dataDxfId="14"/>
    <tableColumn id="3" name="Описание" dataDxfId="13"/>
    <tableColumn id="4" name="Имя панели" dataDxfId="12"/>
    <tableColumn id="5" name="Размер в ленте" dataDxfId="11"/>
    <tableColumn id="6" name="RibbonSplitButton" dataDxfId="10"/>
    <tableColumn id="7" name="Не учитывать" dataDxfId="9"/>
    <tableColumn id="8" name="Зарегистрировать, но не отображать в меню" dataDxfId="8"/>
    <tableColumn id="9" name="Комментарий" dataDxfId="7"/>
    <tableColumn id="10" name="Приоритетность справки" dataDxfId="6"/>
    <tableColumn id="11" name="Видео" dataDxfId="5"/>
    <tableColumn id="12" name="BitmapDll" dataDxfId="4"/>
    <tableColumn id="13" name="Icon" dataDxfId="3"/>
    <tableColumn id="14" name="RootData" dataDxfId="2"/>
    <tableColumn id="15" name="Root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outlinePr summaryBelow="0" summaryRight="0"/>
    <pageSetUpPr fitToPage="1"/>
  </sheetPr>
  <dimension ref="A1:U17"/>
  <sheetViews>
    <sheetView tabSelected="1" zoomScaleNormal="100" workbookViewId="0">
      <pane ySplit="3" topLeftCell="A4" activePane="bottomLeft" state="frozen"/>
      <selection activeCell="D4" sqref="D4"/>
      <selection pane="bottomLeft" activeCell="G7" sqref="G7"/>
    </sheetView>
  </sheetViews>
  <sheetFormatPr defaultColWidth="12.59765625" defaultRowHeight="15" customHeight="1" outlineLevelCol="3" x14ac:dyDescent="0.35"/>
  <cols>
    <col min="1" max="1" width="30.1328125" bestFit="1" customWidth="1"/>
    <col min="2" max="2" width="41" bestFit="1" customWidth="1"/>
    <col min="3" max="3" width="19.86328125" bestFit="1" customWidth="1"/>
    <col min="4" max="4" width="18.73046875" bestFit="1" customWidth="1"/>
    <col min="5" max="5" width="33" bestFit="1" customWidth="1"/>
    <col min="6" max="6" width="25.86328125" customWidth="1" outlineLevel="1"/>
    <col min="7" max="7" width="36.59765625" customWidth="1" outlineLevel="1"/>
    <col min="8" max="8" width="16.59765625" customWidth="1" outlineLevel="2"/>
    <col min="9" max="9" width="19.59765625" customWidth="1" outlineLevel="2"/>
    <col min="10" max="10" width="21.73046875" customWidth="1" outlineLevel="3"/>
    <col min="11" max="11" width="28.73046875" customWidth="1" outlineLevel="3"/>
    <col min="12" max="12" width="17.59765625" customWidth="1" outlineLevel="3"/>
    <col min="13" max="13" width="13.1328125" customWidth="1" outlineLevel="3"/>
    <col min="14" max="14" width="15.265625" customWidth="1" outlineLevel="3"/>
    <col min="15" max="15" width="34.3984375" customWidth="1" outlineLevel="1"/>
    <col min="16" max="16" width="19" customWidth="1" outlineLevel="1"/>
    <col min="17" max="17" width="19.73046875" customWidth="1" outlineLevel="2"/>
    <col min="18" max="18" width="16.3984375" customWidth="1" outlineLevel="3"/>
    <col min="19" max="19" width="22.3984375" customWidth="1" outlineLevel="3"/>
    <col min="20" max="20" width="21" customWidth="1" outlineLevel="3"/>
    <col min="21" max="21" width="22" bestFit="1" customWidth="1"/>
  </cols>
  <sheetData>
    <row r="1" spans="1:21" ht="17.649999999999999" x14ac:dyDescent="0.5">
      <c r="A1" s="105" t="s">
        <v>573</v>
      </c>
      <c r="B1" s="105"/>
      <c r="C1" s="105"/>
      <c r="D1" s="105"/>
      <c r="E1" s="106" t="s">
        <v>574</v>
      </c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54" t="s">
        <v>575</v>
      </c>
    </row>
    <row r="2" spans="1:21" ht="13.15" x14ac:dyDescent="0.35">
      <c r="A2" s="28">
        <f t="shared" ref="A2:U2" si="0">COLUMN()-1</f>
        <v>0</v>
      </c>
      <c r="B2" s="28">
        <f t="shared" si="0"/>
        <v>1</v>
      </c>
      <c r="C2" s="28">
        <f t="shared" si="0"/>
        <v>2</v>
      </c>
      <c r="D2" s="28">
        <f t="shared" si="0"/>
        <v>3</v>
      </c>
      <c r="E2" s="28">
        <f t="shared" si="0"/>
        <v>4</v>
      </c>
      <c r="F2" s="28">
        <f t="shared" si="0"/>
        <v>5</v>
      </c>
      <c r="G2" s="28">
        <f t="shared" si="0"/>
        <v>6</v>
      </c>
      <c r="H2" s="28">
        <f t="shared" si="0"/>
        <v>7</v>
      </c>
      <c r="I2" s="28">
        <f t="shared" si="0"/>
        <v>8</v>
      </c>
      <c r="J2" s="28">
        <f t="shared" si="0"/>
        <v>9</v>
      </c>
      <c r="K2" s="28">
        <f t="shared" si="0"/>
        <v>10</v>
      </c>
      <c r="L2" s="28">
        <f t="shared" si="0"/>
        <v>11</v>
      </c>
      <c r="M2" s="28">
        <f t="shared" si="0"/>
        <v>12</v>
      </c>
      <c r="N2" s="28">
        <f t="shared" si="0"/>
        <v>13</v>
      </c>
      <c r="O2" s="28">
        <f t="shared" si="0"/>
        <v>14</v>
      </c>
      <c r="P2" s="28">
        <f t="shared" si="0"/>
        <v>15</v>
      </c>
      <c r="Q2" s="28">
        <f t="shared" si="0"/>
        <v>16</v>
      </c>
      <c r="R2" s="28">
        <f t="shared" si="0"/>
        <v>17</v>
      </c>
      <c r="S2" s="28">
        <f t="shared" si="0"/>
        <v>18</v>
      </c>
      <c r="T2" s="28">
        <f t="shared" si="0"/>
        <v>19</v>
      </c>
      <c r="U2" s="28">
        <f t="shared" si="0"/>
        <v>20</v>
      </c>
    </row>
    <row r="3" spans="1:21" s="60" customFormat="1" ht="24" customHeight="1" x14ac:dyDescent="0.4">
      <c r="A3" s="68" t="s">
        <v>525</v>
      </c>
      <c r="B3" s="68" t="s">
        <v>524</v>
      </c>
      <c r="C3" s="68" t="s">
        <v>527</v>
      </c>
      <c r="D3" s="68" t="s">
        <v>528</v>
      </c>
      <c r="E3" s="69" t="s">
        <v>485</v>
      </c>
      <c r="F3" s="69" t="s">
        <v>486</v>
      </c>
      <c r="G3" s="69" t="s">
        <v>487</v>
      </c>
      <c r="H3" s="69" t="s">
        <v>544</v>
      </c>
      <c r="I3" s="69" t="s">
        <v>569</v>
      </c>
      <c r="J3" s="69" t="s">
        <v>529</v>
      </c>
      <c r="K3" s="69" t="s">
        <v>474</v>
      </c>
      <c r="L3" s="69" t="s">
        <v>475</v>
      </c>
      <c r="M3" s="86" t="s">
        <v>476</v>
      </c>
      <c r="N3" s="69" t="s">
        <v>477</v>
      </c>
      <c r="O3" s="68" t="s">
        <v>526</v>
      </c>
      <c r="P3" s="69" t="s">
        <v>489</v>
      </c>
      <c r="Q3" s="69" t="s">
        <v>530</v>
      </c>
      <c r="R3" s="69" t="s">
        <v>532</v>
      </c>
      <c r="S3" s="69" t="s">
        <v>572</v>
      </c>
      <c r="T3" s="69" t="s">
        <v>625</v>
      </c>
      <c r="U3" s="70" t="s">
        <v>473</v>
      </c>
    </row>
    <row r="4" spans="1:21" s="43" customFormat="1" ht="15.75" customHeight="1" x14ac:dyDescent="0.35">
      <c r="A4" s="73" t="s">
        <v>645</v>
      </c>
      <c r="B4" s="74" t="s">
        <v>646</v>
      </c>
      <c r="C4" s="35" t="s">
        <v>647</v>
      </c>
      <c r="D4" s="47" t="s">
        <v>15</v>
      </c>
      <c r="E4" s="74" t="s">
        <v>646</v>
      </c>
      <c r="F4" s="75" t="s">
        <v>703</v>
      </c>
      <c r="G4" s="75" t="s">
        <v>704</v>
      </c>
      <c r="H4" s="35" t="s">
        <v>647</v>
      </c>
      <c r="I4" s="35"/>
      <c r="J4" s="76"/>
      <c r="K4" s="76"/>
      <c r="L4" s="76"/>
      <c r="M4" s="76"/>
      <c r="N4" s="76"/>
      <c r="O4" s="74" t="s">
        <v>646</v>
      </c>
      <c r="P4" s="41" t="str">
        <f xml:space="preserve"> Таблица2474[[#This Row],[StatusText]]&amp; " подсказки"</f>
        <v>Монохромный PDF подсказки</v>
      </c>
      <c r="Q4" s="41"/>
      <c r="R4" s="40"/>
      <c r="S4" s="40"/>
      <c r="T4" s="41" t="s">
        <v>493</v>
      </c>
      <c r="U4" s="42">
        <v>300</v>
      </c>
    </row>
    <row r="5" spans="1:21" s="43" customFormat="1" ht="15.75" customHeight="1" x14ac:dyDescent="0.35">
      <c r="A5" s="73" t="s">
        <v>649</v>
      </c>
      <c r="B5" s="77" t="s">
        <v>650</v>
      </c>
      <c r="C5" s="35" t="s">
        <v>647</v>
      </c>
      <c r="D5" s="47" t="s">
        <v>15</v>
      </c>
      <c r="E5" s="74" t="s">
        <v>646</v>
      </c>
      <c r="F5" s="75" t="s">
        <v>703</v>
      </c>
      <c r="G5" s="75" t="s">
        <v>705</v>
      </c>
      <c r="H5" s="35" t="s">
        <v>647</v>
      </c>
      <c r="I5" s="35"/>
      <c r="J5" s="76"/>
      <c r="K5" s="76"/>
      <c r="L5" s="76"/>
      <c r="M5" s="76"/>
      <c r="N5" s="76"/>
      <c r="O5" s="74" t="s">
        <v>650</v>
      </c>
      <c r="P5" s="41" t="str">
        <f xml:space="preserve"> Таблица2474[[#This Row],[StatusText]]&amp; " подсказки"</f>
        <v>Цветной PDF подсказки</v>
      </c>
      <c r="Q5" s="41"/>
      <c r="R5" s="40"/>
      <c r="S5" s="40"/>
      <c r="T5" s="41" t="s">
        <v>493</v>
      </c>
      <c r="U5" s="44">
        <v>310</v>
      </c>
    </row>
    <row r="6" spans="1:21" s="43" customFormat="1" ht="15.75" customHeight="1" x14ac:dyDescent="0.35">
      <c r="A6" s="73" t="s">
        <v>652</v>
      </c>
      <c r="B6" s="74" t="s">
        <v>653</v>
      </c>
      <c r="C6" s="35" t="s">
        <v>647</v>
      </c>
      <c r="D6" s="47" t="s">
        <v>15</v>
      </c>
      <c r="E6" s="74" t="s">
        <v>646</v>
      </c>
      <c r="F6" s="75" t="s">
        <v>703</v>
      </c>
      <c r="G6" s="75" t="s">
        <v>706</v>
      </c>
      <c r="H6" s="35" t="s">
        <v>647</v>
      </c>
      <c r="I6" s="35"/>
      <c r="J6" s="76"/>
      <c r="K6" s="76"/>
      <c r="L6" s="76"/>
      <c r="M6" s="76"/>
      <c r="N6" s="76"/>
      <c r="O6" s="74" t="s">
        <v>653</v>
      </c>
      <c r="P6" s="41" t="str">
        <f xml:space="preserve"> Таблица2474[[#This Row],[StatusText]]&amp; " подсказки"</f>
        <v>Пользовательский стиль PDF подсказки</v>
      </c>
      <c r="Q6" s="41"/>
      <c r="R6" s="40"/>
      <c r="S6" s="40"/>
      <c r="T6" s="41" t="s">
        <v>493</v>
      </c>
      <c r="U6" s="42">
        <v>320</v>
      </c>
    </row>
    <row r="7" spans="1:21" s="43" customFormat="1" ht="15.75" customHeight="1" x14ac:dyDescent="0.35">
      <c r="A7" s="73" t="s">
        <v>702</v>
      </c>
      <c r="B7" s="79" t="s">
        <v>698</v>
      </c>
      <c r="C7" s="35" t="s">
        <v>647</v>
      </c>
      <c r="D7" s="47" t="s">
        <v>483</v>
      </c>
      <c r="E7" s="80"/>
      <c r="F7" s="75" t="s">
        <v>703</v>
      </c>
      <c r="G7" s="75" t="s">
        <v>656</v>
      </c>
      <c r="H7" s="35" t="s">
        <v>647</v>
      </c>
      <c r="I7" s="35"/>
      <c r="J7" s="36"/>
      <c r="K7" s="36"/>
      <c r="L7" s="36"/>
      <c r="M7" s="36"/>
      <c r="N7" s="36"/>
      <c r="O7" s="81" t="s">
        <v>657</v>
      </c>
      <c r="P7" s="41" t="str">
        <f xml:space="preserve"> Таблица2474[[#This Row],[StatusText]]&amp; " подсказки"</f>
        <v>Настроить форматку подсказки</v>
      </c>
      <c r="Q7" s="41"/>
      <c r="R7" s="40"/>
      <c r="S7" s="40"/>
      <c r="T7" s="41" t="s">
        <v>493</v>
      </c>
      <c r="U7" s="44">
        <v>330</v>
      </c>
    </row>
    <row r="8" spans="1:21" s="43" customFormat="1" ht="15.75" customHeight="1" x14ac:dyDescent="0.35">
      <c r="A8" s="78" t="s">
        <v>717</v>
      </c>
      <c r="B8" s="79" t="s">
        <v>697</v>
      </c>
      <c r="C8" s="35" t="s">
        <v>647</v>
      </c>
      <c r="D8" s="47" t="s">
        <v>483</v>
      </c>
      <c r="E8" s="74"/>
      <c r="F8" s="75" t="s">
        <v>703</v>
      </c>
      <c r="G8" s="32" t="s">
        <v>707</v>
      </c>
      <c r="H8" s="35" t="s">
        <v>647</v>
      </c>
      <c r="I8" s="35"/>
      <c r="J8" s="36"/>
      <c r="K8" s="36"/>
      <c r="L8" s="36"/>
      <c r="M8" s="36"/>
      <c r="N8" s="36"/>
      <c r="O8" s="81" t="s">
        <v>655</v>
      </c>
      <c r="P8" s="41" t="str">
        <f xml:space="preserve"> Таблица2474[[#This Row],[StatusText]]&amp; " подсказки"</f>
        <v>Настройки PDF подсказки</v>
      </c>
      <c r="Q8" s="41"/>
      <c r="R8" s="40"/>
      <c r="S8" s="40"/>
      <c r="T8" s="41" t="s">
        <v>493</v>
      </c>
      <c r="U8" s="42">
        <v>340</v>
      </c>
    </row>
    <row r="9" spans="1:21" s="43" customFormat="1" ht="15.75" customHeight="1" x14ac:dyDescent="0.35">
      <c r="A9" s="73" t="s">
        <v>716</v>
      </c>
      <c r="B9" s="82" t="s">
        <v>699</v>
      </c>
      <c r="C9" s="35" t="s">
        <v>647</v>
      </c>
      <c r="D9" s="47" t="s">
        <v>483</v>
      </c>
      <c r="E9" s="74"/>
      <c r="F9" s="75" t="s">
        <v>703</v>
      </c>
      <c r="G9" s="32" t="s">
        <v>708</v>
      </c>
      <c r="H9" s="35" t="s">
        <v>647</v>
      </c>
      <c r="I9" s="35"/>
      <c r="J9" s="36"/>
      <c r="K9" s="36" t="s">
        <v>491</v>
      </c>
      <c r="L9" s="36" t="s">
        <v>661</v>
      </c>
      <c r="M9" s="36"/>
      <c r="N9" s="36"/>
      <c r="O9" s="82" t="s">
        <v>662</v>
      </c>
      <c r="P9" s="41" t="str">
        <f xml:space="preserve"> Таблица2474[[#This Row],[StatusText]]&amp; " подсказки"</f>
        <v>Домашняя страница QPDF подсказки</v>
      </c>
      <c r="Q9" s="41"/>
      <c r="R9" s="40"/>
      <c r="S9" s="40"/>
      <c r="T9" s="41" t="s">
        <v>493</v>
      </c>
      <c r="U9" s="42">
        <v>360</v>
      </c>
    </row>
    <row r="10" spans="1:21" s="43" customFormat="1" ht="15.75" customHeight="1" x14ac:dyDescent="0.35">
      <c r="A10" s="83" t="s">
        <v>667</v>
      </c>
      <c r="B10" s="81" t="s">
        <v>668</v>
      </c>
      <c r="C10" s="80" t="s">
        <v>666</v>
      </c>
      <c r="D10" s="80" t="s">
        <v>15</v>
      </c>
      <c r="E10" s="81"/>
      <c r="F10" s="84" t="s">
        <v>712</v>
      </c>
      <c r="G10" s="72" t="s">
        <v>667</v>
      </c>
      <c r="H10" s="76" t="s">
        <v>666</v>
      </c>
      <c r="I10" s="35"/>
      <c r="J10" s="36"/>
      <c r="K10" s="36"/>
      <c r="L10" s="36"/>
      <c r="M10" s="36"/>
      <c r="N10" s="36"/>
      <c r="O10" s="81" t="s">
        <v>668</v>
      </c>
      <c r="P10" s="41" t="str">
        <f xml:space="preserve"> Таблица2474[[#This Row],[StatusText]]&amp; " подсказки"</f>
        <v>Вставить QR-код подсказки</v>
      </c>
      <c r="Q10" s="41"/>
      <c r="R10" s="40"/>
      <c r="S10" s="40"/>
      <c r="T10" s="41" t="s">
        <v>493</v>
      </c>
      <c r="U10" s="44">
        <v>370</v>
      </c>
    </row>
    <row r="11" spans="1:21" s="43" customFormat="1" ht="15.75" customHeight="1" x14ac:dyDescent="0.35">
      <c r="A11" s="78" t="s">
        <v>671</v>
      </c>
      <c r="B11" s="81" t="s">
        <v>670</v>
      </c>
      <c r="C11" s="80" t="s">
        <v>666</v>
      </c>
      <c r="D11" s="80" t="s">
        <v>15</v>
      </c>
      <c r="E11" s="85"/>
      <c r="F11" s="84" t="s">
        <v>712</v>
      </c>
      <c r="G11" s="72" t="s">
        <v>671</v>
      </c>
      <c r="H11" s="76" t="s">
        <v>666</v>
      </c>
      <c r="I11" s="35"/>
      <c r="J11" s="36"/>
      <c r="K11" s="36"/>
      <c r="L11" s="36"/>
      <c r="M11" s="36"/>
      <c r="N11" s="36"/>
      <c r="O11" s="81" t="s">
        <v>670</v>
      </c>
      <c r="P11" s="41" t="str">
        <f xml:space="preserve"> Таблица2474[[#This Row],[StatusText]]&amp; " подсказки"</f>
        <v>Заполнить штамп подсказки</v>
      </c>
      <c r="Q11" s="41"/>
      <c r="R11" s="40"/>
      <c r="S11" s="40"/>
      <c r="T11" s="41" t="s">
        <v>493</v>
      </c>
      <c r="U11" s="42">
        <v>380</v>
      </c>
    </row>
    <row r="12" spans="1:21" s="51" customFormat="1" ht="15.75" customHeight="1" x14ac:dyDescent="0.35">
      <c r="A12" s="67" t="s">
        <v>709</v>
      </c>
      <c r="B12" s="46" t="s">
        <v>677</v>
      </c>
      <c r="C12" s="80" t="s">
        <v>666</v>
      </c>
      <c r="D12" s="47" t="s">
        <v>15</v>
      </c>
      <c r="E12" s="47"/>
      <c r="F12" s="84" t="s">
        <v>712</v>
      </c>
      <c r="G12" s="72" t="s">
        <v>715</v>
      </c>
      <c r="H12" s="76" t="s">
        <v>666</v>
      </c>
      <c r="I12" s="35"/>
      <c r="J12" s="49"/>
      <c r="K12" s="49"/>
      <c r="L12" s="49"/>
      <c r="M12" s="49"/>
      <c r="N12" s="49"/>
      <c r="O12" s="46" t="s">
        <v>677</v>
      </c>
      <c r="P12" s="49" t="str">
        <f xml:space="preserve"> Таблица2474[[#This Row],[StatusText]]&amp; " подсказки"</f>
        <v>Разбить по листам подсказки</v>
      </c>
      <c r="Q12" s="49"/>
      <c r="R12" s="40"/>
      <c r="S12" s="48"/>
      <c r="T12" s="41" t="s">
        <v>493</v>
      </c>
      <c r="U12" s="53">
        <v>410</v>
      </c>
    </row>
    <row r="13" spans="1:21" s="43" customFormat="1" ht="15.75" customHeight="1" x14ac:dyDescent="0.35">
      <c r="A13" s="58" t="s">
        <v>710</v>
      </c>
      <c r="B13" s="87" t="s">
        <v>672</v>
      </c>
      <c r="C13" s="80" t="s">
        <v>666</v>
      </c>
      <c r="D13" s="47" t="s">
        <v>483</v>
      </c>
      <c r="E13" s="39"/>
      <c r="F13" s="84" t="s">
        <v>712</v>
      </c>
      <c r="G13" s="72" t="s">
        <v>713</v>
      </c>
      <c r="H13" s="76" t="s">
        <v>666</v>
      </c>
      <c r="I13" s="57"/>
      <c r="J13" s="41"/>
      <c r="K13" s="41" t="s">
        <v>674</v>
      </c>
      <c r="L13" s="41"/>
      <c r="M13" s="41"/>
      <c r="N13" s="41"/>
      <c r="O13" s="87" t="s">
        <v>672</v>
      </c>
      <c r="P13" s="41" t="str">
        <f xml:space="preserve"> Таблица2474[[#This Row],[StatusText]]&amp; " подсказки"</f>
        <v>ПД. Заменить рамку подсказки</v>
      </c>
      <c r="Q13" s="41"/>
      <c r="R13" s="40"/>
      <c r="S13" s="40"/>
      <c r="T13" s="41" t="s">
        <v>493</v>
      </c>
      <c r="U13" s="44">
        <v>390</v>
      </c>
    </row>
    <row r="14" spans="1:21" s="51" customFormat="1" ht="15.75" customHeight="1" x14ac:dyDescent="0.35">
      <c r="A14" s="58" t="s">
        <v>711</v>
      </c>
      <c r="B14" s="88" t="s">
        <v>676</v>
      </c>
      <c r="C14" s="80" t="s">
        <v>666</v>
      </c>
      <c r="D14" s="47" t="s">
        <v>483</v>
      </c>
      <c r="E14" s="47"/>
      <c r="F14" s="84" t="s">
        <v>712</v>
      </c>
      <c r="G14" s="72" t="s">
        <v>713</v>
      </c>
      <c r="H14" s="76" t="s">
        <v>666</v>
      </c>
      <c r="I14" s="35"/>
      <c r="J14" s="49"/>
      <c r="K14" s="49"/>
      <c r="L14" s="49"/>
      <c r="M14" s="49"/>
      <c r="N14" s="49"/>
      <c r="O14" s="88" t="s">
        <v>676</v>
      </c>
      <c r="P14" s="49" t="str">
        <f xml:space="preserve"> Таблица2474[[#This Row],[StatusText]]&amp; " подсказки"</f>
        <v>РД. Заменить рамку подсказки</v>
      </c>
      <c r="Q14" s="49"/>
      <c r="R14" s="40"/>
      <c r="S14" s="48"/>
      <c r="T14" s="41" t="s">
        <v>493</v>
      </c>
      <c r="U14" s="50">
        <v>400</v>
      </c>
    </row>
    <row r="15" spans="1:21" s="51" customFormat="1" ht="15.75" customHeight="1" x14ac:dyDescent="0.35">
      <c r="A15" s="67" t="s">
        <v>718</v>
      </c>
      <c r="B15" s="46" t="s">
        <v>700</v>
      </c>
      <c r="C15" s="80" t="s">
        <v>666</v>
      </c>
      <c r="D15" s="47" t="s">
        <v>483</v>
      </c>
      <c r="E15" s="47"/>
      <c r="F15" s="84" t="s">
        <v>712</v>
      </c>
      <c r="G15" s="32" t="s">
        <v>714</v>
      </c>
      <c r="H15" s="76" t="s">
        <v>666</v>
      </c>
      <c r="I15" s="35"/>
      <c r="J15" s="49"/>
      <c r="K15" s="36" t="s">
        <v>491</v>
      </c>
      <c r="L15" s="49" t="s">
        <v>679</v>
      </c>
      <c r="M15" s="49"/>
      <c r="N15" s="49"/>
      <c r="O15" s="46" t="s">
        <v>274</v>
      </c>
      <c r="P15" s="49" t="str">
        <f xml:space="preserve"> Таблица2474[[#This Row],[StatusText]]&amp; " подсказки"</f>
        <v>Справка подсказки</v>
      </c>
      <c r="Q15" s="49"/>
      <c r="R15" s="40"/>
      <c r="S15" s="48"/>
      <c r="T15" s="41" t="s">
        <v>493</v>
      </c>
      <c r="U15" s="50">
        <v>420</v>
      </c>
    </row>
    <row r="16" spans="1:21" ht="15" customHeight="1" x14ac:dyDescent="0.35">
      <c r="A16" s="89" t="s">
        <v>691</v>
      </c>
      <c r="B16" s="89" t="s">
        <v>692</v>
      </c>
      <c r="C16" s="92" t="s">
        <v>689</v>
      </c>
      <c r="D16" s="90" t="s">
        <v>15</v>
      </c>
      <c r="E16" s="90"/>
      <c r="F16" s="91" t="s">
        <v>693</v>
      </c>
      <c r="G16" s="91" t="s">
        <v>690</v>
      </c>
      <c r="H16" s="92" t="s">
        <v>689</v>
      </c>
      <c r="I16" s="93"/>
      <c r="J16" s="49"/>
      <c r="K16" s="49"/>
      <c r="L16" s="49"/>
      <c r="M16" s="94"/>
      <c r="N16" s="94"/>
      <c r="O16" s="89" t="s">
        <v>692</v>
      </c>
      <c r="P16" s="95" t="str">
        <f xml:space="preserve"> Таблица2474[[#This Row],[StatusText]]&amp; " подсказки"</f>
        <v>Сохранить в Сапсан 2020 подсказки</v>
      </c>
      <c r="Q16" s="94"/>
      <c r="R16" s="96"/>
      <c r="S16" s="91"/>
      <c r="T16" s="94" t="s">
        <v>493</v>
      </c>
      <c r="U16" s="53">
        <v>430</v>
      </c>
    </row>
    <row r="17" spans="1:21" ht="15" customHeight="1" x14ac:dyDescent="0.35">
      <c r="A17" s="97" t="s">
        <v>695</v>
      </c>
      <c r="B17" s="97" t="s">
        <v>701</v>
      </c>
      <c r="C17" s="98" t="s">
        <v>689</v>
      </c>
      <c r="D17" s="99" t="s">
        <v>15</v>
      </c>
      <c r="E17" s="99"/>
      <c r="F17" s="84" t="s">
        <v>712</v>
      </c>
      <c r="G17" s="32" t="s">
        <v>714</v>
      </c>
      <c r="H17" s="101" t="s">
        <v>689</v>
      </c>
      <c r="I17" s="98"/>
      <c r="J17" s="102"/>
      <c r="K17" s="36" t="s">
        <v>491</v>
      </c>
      <c r="L17" s="49" t="s">
        <v>696</v>
      </c>
      <c r="M17" s="102"/>
      <c r="N17" s="102"/>
      <c r="O17" s="97" t="s">
        <v>694</v>
      </c>
      <c r="P17" s="103" t="str">
        <f xml:space="preserve"> Таблица2474[[#This Row],[StatusText]]&amp; " подсказки"</f>
        <v>Справка по публикации в Сапсан подсказки</v>
      </c>
      <c r="Q17" s="102"/>
      <c r="R17" s="104"/>
      <c r="S17" s="100"/>
      <c r="T17" s="102" t="s">
        <v>493</v>
      </c>
      <c r="U17" s="50">
        <v>440</v>
      </c>
    </row>
  </sheetData>
  <mergeCells count="2">
    <mergeCell ref="A1:D1"/>
    <mergeCell ref="E1:T1"/>
  </mergeCells>
  <conditionalFormatting sqref="A18:D265 L18:L276 F18:F20 E10:E11 E7 B7 H7:I8 C7:C8 O7:O9 I9:I11 B9:C9 H9 A13:C15 I13:I15 E13:E15 O13:O15 F23:F586">
    <cfRule type="containsText" dxfId="244" priority="33" operator="containsText" text="|">
      <formula>NOT(ISERROR(SEARCH("|",A7)))</formula>
    </cfRule>
  </conditionalFormatting>
  <conditionalFormatting sqref="B18:B265 A13:A15">
    <cfRule type="duplicateValues" dxfId="243" priority="35"/>
  </conditionalFormatting>
  <conditionalFormatting sqref="B4:C4 A8:B8 A10:C10 I4:I6 O4:O6 B5:B6 A11:B11">
    <cfRule type="containsText" dxfId="242" priority="31" operator="containsText" text="|">
      <formula>NOT(ISERROR(SEARCH("|",A4)))</formula>
    </cfRule>
  </conditionalFormatting>
  <conditionalFormatting sqref="A10:A11 A8">
    <cfRule type="duplicateValues" dxfId="241" priority="32"/>
  </conditionalFormatting>
  <conditionalFormatting sqref="E4:E6 E8">
    <cfRule type="containsText" dxfId="240" priority="29" operator="containsText" text="|">
      <formula>NOT(ISERROR(SEARCH("|",E4)))</formula>
    </cfRule>
  </conditionalFormatting>
  <conditionalFormatting sqref="C11">
    <cfRule type="containsText" dxfId="239" priority="22" operator="containsText" text="|">
      <formula>NOT(ISERROR(SEARCH("|",C11)))</formula>
    </cfRule>
  </conditionalFormatting>
  <conditionalFormatting sqref="O10:O11">
    <cfRule type="containsText" dxfId="238" priority="20" operator="containsText" text="|">
      <formula>NOT(ISERROR(SEARCH("|",O10)))</formula>
    </cfRule>
  </conditionalFormatting>
  <conditionalFormatting sqref="C5:C6">
    <cfRule type="containsText" dxfId="237" priority="19" operator="containsText" text="|">
      <formula>NOT(ISERROR(SEARCH("|",C5)))</formula>
    </cfRule>
  </conditionalFormatting>
  <conditionalFormatting sqref="H4:H6">
    <cfRule type="containsText" dxfId="236" priority="18" operator="containsText" text="|">
      <formula>NOT(ISERROR(SEARCH("|",H4)))</formula>
    </cfRule>
  </conditionalFormatting>
  <conditionalFormatting sqref="E16 I16 A16:B16">
    <cfRule type="containsText" dxfId="235" priority="16" operator="containsText" text="|">
      <formula>NOT(ISERROR(SEARCH("|",A16)))</formula>
    </cfRule>
  </conditionalFormatting>
  <conditionalFormatting sqref="A16">
    <cfRule type="duplicateValues" dxfId="234" priority="17"/>
  </conditionalFormatting>
  <conditionalFormatting sqref="O16">
    <cfRule type="containsText" dxfId="233" priority="13" operator="containsText" text="|">
      <formula>NOT(ISERROR(SEARCH("|",O16)))</formula>
    </cfRule>
  </conditionalFormatting>
  <conditionalFormatting sqref="E17 I17 A17:B17">
    <cfRule type="containsText" dxfId="232" priority="11" operator="containsText" text="|">
      <formula>NOT(ISERROR(SEARCH("|",A17)))</formula>
    </cfRule>
  </conditionalFormatting>
  <conditionalFormatting sqref="A17">
    <cfRule type="duplicateValues" dxfId="231" priority="12"/>
  </conditionalFormatting>
  <conditionalFormatting sqref="O17">
    <cfRule type="containsText" dxfId="230" priority="9" operator="containsText" text="|">
      <formula>NOT(ISERROR(SEARCH("|",O17)))</formula>
    </cfRule>
  </conditionalFormatting>
  <conditionalFormatting sqref="E9">
    <cfRule type="containsText" dxfId="229" priority="5" operator="containsText" text="|">
      <formula>NOT(ISERROR(SEARCH("|",E9)))</formula>
    </cfRule>
  </conditionalFormatting>
  <conditionalFormatting sqref="A12:B12 I12 E12">
    <cfRule type="containsText" dxfId="228" priority="3" operator="containsText" text="|">
      <formula>NOT(ISERROR(SEARCH("|",A12)))</formula>
    </cfRule>
  </conditionalFormatting>
  <conditionalFormatting sqref="A12">
    <cfRule type="duplicateValues" dxfId="227" priority="4"/>
  </conditionalFormatting>
  <conditionalFormatting sqref="C12">
    <cfRule type="containsText" dxfId="226" priority="2" operator="containsText" text="|">
      <formula>NOT(ISERROR(SEARCH("|",C12)))</formula>
    </cfRule>
  </conditionalFormatting>
  <conditionalFormatting sqref="O12">
    <cfRule type="containsText" dxfId="225" priority="1" operator="containsText" text="|">
      <formula>NOT(ISERROR(SEARCH("|",O12)))</formula>
    </cfRule>
  </conditionalFormatting>
  <dataValidations count="1">
    <dataValidation showInputMessage="1" showErrorMessage="1" sqref="B4 E4:E6 E8:E9"/>
  </dataValidations>
  <printOptions horizontalCentered="1" gridLines="1"/>
  <pageMargins left="0.7" right="0.7" top="0.75" bottom="0.75" header="0" footer="0"/>
  <pageSetup paperSize="9" fitToHeight="0" pageOrder="overThenDown" orientation="landscape" cellComments="atEnd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Enum!$A$2:$A$6</xm:f>
          </x14:formula1>
          <xm:sqref>D4:D9 D12:D17</xm:sqref>
        </x14:dataValidation>
        <x14:dataValidation type="list" allowBlank="1" showInputMessage="1" showErrorMessage="1">
          <x14:formula1>
            <xm:f>[1]Enum!#REF!</xm:f>
          </x14:formula1>
          <xm:sqref>D10:D11 N4:N11</xm:sqref>
        </x14:dataValidation>
        <x14:dataValidation type="list" allowBlank="1" showInputMessage="1" showErrorMessage="1">
          <x14:formula1>
            <xm:f>Enum!$F$2:$F$4</xm:f>
          </x14:formula1>
          <xm:sqref>N12:N17</xm:sqref>
        </x14:dataValidation>
        <x14:dataValidation type="list" allowBlank="1" showInputMessage="1" showErrorMessage="1">
          <x14:formula1>
            <xm:f>Enum!$D$2:$D$4</xm:f>
          </x14:formula1>
          <xm:sqref>R4:T17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outlinePr summaryBelow="0" summaryRight="0"/>
    <pageSetUpPr fitToPage="1"/>
  </sheetPr>
  <dimension ref="A1:U16"/>
  <sheetViews>
    <sheetView zoomScaleNormal="100" workbookViewId="0">
      <pane ySplit="3" topLeftCell="A4" activePane="bottomLeft" state="frozen"/>
      <selection activeCell="D4" sqref="D4"/>
      <selection pane="bottomLeft" activeCell="D8" sqref="D8"/>
    </sheetView>
  </sheetViews>
  <sheetFormatPr defaultColWidth="12.59765625" defaultRowHeight="15" customHeight="1" outlineLevelCol="3" x14ac:dyDescent="0.35"/>
  <cols>
    <col min="1" max="1" width="30.1328125" bestFit="1" customWidth="1"/>
    <col min="2" max="2" width="41" bestFit="1" customWidth="1"/>
    <col min="3" max="3" width="19.86328125" bestFit="1" customWidth="1"/>
    <col min="4" max="4" width="18.73046875" bestFit="1" customWidth="1"/>
    <col min="5" max="5" width="33" bestFit="1" customWidth="1"/>
    <col min="6" max="6" width="25.86328125" customWidth="1" outlineLevel="1"/>
    <col min="7" max="7" width="16.86328125" customWidth="1" outlineLevel="1"/>
    <col min="8" max="8" width="16.59765625" customWidth="1" outlineLevel="2"/>
    <col min="9" max="9" width="19.59765625" customWidth="1" outlineLevel="2"/>
    <col min="10" max="10" width="21.73046875" customWidth="1" outlineLevel="3"/>
    <col min="11" max="11" width="28.73046875" customWidth="1" outlineLevel="3"/>
    <col min="12" max="12" width="17.59765625" customWidth="1" outlineLevel="3"/>
    <col min="13" max="13" width="13.1328125" customWidth="1" outlineLevel="3"/>
    <col min="14" max="14" width="15.265625" customWidth="1" outlineLevel="3"/>
    <col min="15" max="15" width="34.3984375" customWidth="1" outlineLevel="1"/>
    <col min="16" max="16" width="19" customWidth="1" outlineLevel="1"/>
    <col min="17" max="17" width="19.73046875" customWidth="1" outlineLevel="2"/>
    <col min="18" max="18" width="16.3984375" customWidth="1" outlineLevel="3"/>
    <col min="19" max="19" width="22.3984375" customWidth="1" outlineLevel="3"/>
    <col min="20" max="20" width="21" customWidth="1" outlineLevel="3"/>
    <col min="21" max="21" width="22" bestFit="1" customWidth="1"/>
  </cols>
  <sheetData>
    <row r="1" spans="1:21" ht="17.649999999999999" x14ac:dyDescent="0.5">
      <c r="A1" s="105" t="s">
        <v>573</v>
      </c>
      <c r="B1" s="105"/>
      <c r="C1" s="105"/>
      <c r="D1" s="105"/>
      <c r="E1" s="106" t="s">
        <v>574</v>
      </c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54" t="s">
        <v>575</v>
      </c>
    </row>
    <row r="2" spans="1:21" ht="13.15" x14ac:dyDescent="0.35">
      <c r="A2" s="28">
        <f t="shared" ref="A2:U2" si="0">COLUMN()-1</f>
        <v>0</v>
      </c>
      <c r="B2" s="28">
        <f t="shared" si="0"/>
        <v>1</v>
      </c>
      <c r="C2" s="28">
        <f t="shared" si="0"/>
        <v>2</v>
      </c>
      <c r="D2" s="28">
        <f t="shared" si="0"/>
        <v>3</v>
      </c>
      <c r="E2" s="28">
        <f t="shared" si="0"/>
        <v>4</v>
      </c>
      <c r="F2" s="28">
        <f t="shared" si="0"/>
        <v>5</v>
      </c>
      <c r="G2" s="28">
        <f t="shared" si="0"/>
        <v>6</v>
      </c>
      <c r="H2" s="28">
        <f t="shared" si="0"/>
        <v>7</v>
      </c>
      <c r="I2" s="28">
        <f t="shared" si="0"/>
        <v>8</v>
      </c>
      <c r="J2" s="28">
        <f t="shared" si="0"/>
        <v>9</v>
      </c>
      <c r="K2" s="28">
        <f t="shared" si="0"/>
        <v>10</v>
      </c>
      <c r="L2" s="28">
        <f t="shared" si="0"/>
        <v>11</v>
      </c>
      <c r="M2" s="28">
        <f t="shared" si="0"/>
        <v>12</v>
      </c>
      <c r="N2" s="28">
        <f t="shared" si="0"/>
        <v>13</v>
      </c>
      <c r="O2" s="28">
        <f t="shared" si="0"/>
        <v>14</v>
      </c>
      <c r="P2" s="28">
        <f t="shared" si="0"/>
        <v>15</v>
      </c>
      <c r="Q2" s="28">
        <f t="shared" si="0"/>
        <v>16</v>
      </c>
      <c r="R2" s="28">
        <f t="shared" si="0"/>
        <v>17</v>
      </c>
      <c r="S2" s="28">
        <f t="shared" si="0"/>
        <v>18</v>
      </c>
      <c r="T2" s="28">
        <f t="shared" si="0"/>
        <v>19</v>
      </c>
      <c r="U2" s="28">
        <f t="shared" si="0"/>
        <v>20</v>
      </c>
    </row>
    <row r="3" spans="1:21" s="60" customFormat="1" ht="24" customHeight="1" x14ac:dyDescent="0.4">
      <c r="A3" s="68" t="s">
        <v>525</v>
      </c>
      <c r="B3" s="68" t="s">
        <v>524</v>
      </c>
      <c r="C3" s="68" t="s">
        <v>527</v>
      </c>
      <c r="D3" s="68" t="s">
        <v>528</v>
      </c>
      <c r="E3" s="69" t="s">
        <v>485</v>
      </c>
      <c r="F3" s="69" t="s">
        <v>486</v>
      </c>
      <c r="G3" s="69" t="s">
        <v>487</v>
      </c>
      <c r="H3" s="69" t="s">
        <v>544</v>
      </c>
      <c r="I3" s="69" t="s">
        <v>569</v>
      </c>
      <c r="J3" s="69" t="s">
        <v>529</v>
      </c>
      <c r="K3" s="69" t="s">
        <v>474</v>
      </c>
      <c r="L3" s="69" t="s">
        <v>475</v>
      </c>
      <c r="M3" s="86" t="s">
        <v>476</v>
      </c>
      <c r="N3" s="69" t="s">
        <v>477</v>
      </c>
      <c r="O3" s="68" t="s">
        <v>526</v>
      </c>
      <c r="P3" s="69" t="s">
        <v>489</v>
      </c>
      <c r="Q3" s="69" t="s">
        <v>530</v>
      </c>
      <c r="R3" s="69" t="s">
        <v>532</v>
      </c>
      <c r="S3" s="69" t="s">
        <v>572</v>
      </c>
      <c r="T3" s="69" t="s">
        <v>625</v>
      </c>
      <c r="U3" s="70" t="s">
        <v>473</v>
      </c>
    </row>
    <row r="4" spans="1:21" s="43" customFormat="1" ht="15.75" customHeight="1" x14ac:dyDescent="0.35">
      <c r="A4" s="73" t="s">
        <v>645</v>
      </c>
      <c r="B4" s="74" t="s">
        <v>646</v>
      </c>
      <c r="C4" s="35" t="s">
        <v>645</v>
      </c>
      <c r="D4" s="35" t="s">
        <v>15</v>
      </c>
      <c r="E4" s="74" t="s">
        <v>646</v>
      </c>
      <c r="F4" s="75" t="s">
        <v>663</v>
      </c>
      <c r="G4" s="75" t="s">
        <v>648</v>
      </c>
      <c r="H4" s="35" t="s">
        <v>645</v>
      </c>
      <c r="I4" s="35"/>
      <c r="J4" s="76"/>
      <c r="K4" s="76"/>
      <c r="L4" s="76"/>
      <c r="M4" s="76"/>
      <c r="N4" s="76"/>
      <c r="O4" s="74" t="s">
        <v>646</v>
      </c>
      <c r="P4" s="41"/>
      <c r="Q4" s="41"/>
      <c r="R4" s="40"/>
      <c r="S4" s="40"/>
      <c r="T4" s="41" t="s">
        <v>493</v>
      </c>
      <c r="U4" s="42">
        <v>300</v>
      </c>
    </row>
    <row r="5" spans="1:21" s="43" customFormat="1" ht="15.75" customHeight="1" x14ac:dyDescent="0.35">
      <c r="A5" s="73" t="s">
        <v>649</v>
      </c>
      <c r="B5" s="77" t="s">
        <v>650</v>
      </c>
      <c r="C5" s="35" t="s">
        <v>645</v>
      </c>
      <c r="D5" s="35" t="s">
        <v>15</v>
      </c>
      <c r="E5" s="74" t="s">
        <v>646</v>
      </c>
      <c r="F5" s="75" t="s">
        <v>663</v>
      </c>
      <c r="G5" s="75" t="s">
        <v>651</v>
      </c>
      <c r="H5" s="35" t="s">
        <v>645</v>
      </c>
      <c r="I5" s="35"/>
      <c r="J5" s="76"/>
      <c r="K5" s="76"/>
      <c r="L5" s="76"/>
      <c r="M5" s="76"/>
      <c r="N5" s="76"/>
      <c r="O5" s="74" t="s">
        <v>650</v>
      </c>
      <c r="P5" s="41"/>
      <c r="Q5" s="41"/>
      <c r="R5" s="40"/>
      <c r="S5" s="40"/>
      <c r="T5" s="41" t="s">
        <v>493</v>
      </c>
      <c r="U5" s="44">
        <v>310</v>
      </c>
    </row>
    <row r="6" spans="1:21" s="43" customFormat="1" ht="15.75" customHeight="1" x14ac:dyDescent="0.35">
      <c r="A6" s="73" t="s">
        <v>664</v>
      </c>
      <c r="B6" s="74" t="s">
        <v>653</v>
      </c>
      <c r="C6" s="35" t="s">
        <v>645</v>
      </c>
      <c r="D6" s="35" t="s">
        <v>15</v>
      </c>
      <c r="E6" s="74" t="s">
        <v>646</v>
      </c>
      <c r="F6" s="75" t="s">
        <v>663</v>
      </c>
      <c r="G6" s="75" t="s">
        <v>654</v>
      </c>
      <c r="H6" s="35" t="s">
        <v>645</v>
      </c>
      <c r="I6" s="35"/>
      <c r="J6" s="76"/>
      <c r="K6" s="76"/>
      <c r="L6" s="76"/>
      <c r="M6" s="76"/>
      <c r="N6" s="76"/>
      <c r="O6" s="74" t="s">
        <v>653</v>
      </c>
      <c r="P6" s="41"/>
      <c r="Q6" s="41"/>
      <c r="R6" s="40"/>
      <c r="S6" s="40"/>
      <c r="T6" s="41" t="s">
        <v>493</v>
      </c>
      <c r="U6" s="42">
        <v>320</v>
      </c>
    </row>
    <row r="7" spans="1:21" s="43" customFormat="1" ht="15.75" customHeight="1" x14ac:dyDescent="0.35">
      <c r="A7" s="78" t="s">
        <v>665</v>
      </c>
      <c r="B7" s="79" t="s">
        <v>655</v>
      </c>
      <c r="C7" s="35" t="s">
        <v>645</v>
      </c>
      <c r="D7" s="47" t="s">
        <v>483</v>
      </c>
      <c r="E7" s="74"/>
      <c r="F7" s="75" t="s">
        <v>663</v>
      </c>
      <c r="G7" s="75" t="s">
        <v>648</v>
      </c>
      <c r="H7" s="35" t="s">
        <v>645</v>
      </c>
      <c r="I7" s="35"/>
      <c r="J7" s="36"/>
      <c r="K7" s="36"/>
      <c r="L7" s="36"/>
      <c r="M7" s="36"/>
      <c r="N7" s="36"/>
      <c r="O7" s="81" t="s">
        <v>655</v>
      </c>
      <c r="P7" s="41"/>
      <c r="Q7" s="41"/>
      <c r="R7" s="40"/>
      <c r="S7" s="40"/>
      <c r="T7" s="41" t="s">
        <v>493</v>
      </c>
      <c r="U7" s="44">
        <v>330</v>
      </c>
    </row>
    <row r="8" spans="1:21" s="43" customFormat="1" ht="15.75" customHeight="1" x14ac:dyDescent="0.35">
      <c r="A8" s="73" t="s">
        <v>656</v>
      </c>
      <c r="B8" s="79" t="s">
        <v>657</v>
      </c>
      <c r="C8" s="35" t="s">
        <v>645</v>
      </c>
      <c r="D8" s="47" t="s">
        <v>483</v>
      </c>
      <c r="E8" s="80"/>
      <c r="F8" s="75" t="s">
        <v>663</v>
      </c>
      <c r="G8" s="75" t="s">
        <v>648</v>
      </c>
      <c r="H8" s="35" t="s">
        <v>645</v>
      </c>
      <c r="I8" s="35"/>
      <c r="J8" s="36"/>
      <c r="K8" s="36"/>
      <c r="L8" s="36"/>
      <c r="M8" s="36"/>
      <c r="N8" s="36"/>
      <c r="O8" s="81" t="s">
        <v>657</v>
      </c>
      <c r="P8" s="41"/>
      <c r="Q8" s="41"/>
      <c r="R8" s="40"/>
      <c r="S8" s="40"/>
      <c r="T8" s="41" t="s">
        <v>493</v>
      </c>
      <c r="U8" s="42">
        <v>340</v>
      </c>
    </row>
    <row r="9" spans="1:21" s="43" customFormat="1" ht="15.75" customHeight="1" x14ac:dyDescent="0.35">
      <c r="A9" s="73" t="s">
        <v>658</v>
      </c>
      <c r="B9" s="79" t="s">
        <v>659</v>
      </c>
      <c r="C9" s="35" t="s">
        <v>645</v>
      </c>
      <c r="D9" s="47" t="s">
        <v>483</v>
      </c>
      <c r="E9" s="80"/>
      <c r="F9" s="75" t="s">
        <v>663</v>
      </c>
      <c r="G9" s="75" t="s">
        <v>648</v>
      </c>
      <c r="H9" s="35" t="s">
        <v>645</v>
      </c>
      <c r="I9" s="35"/>
      <c r="J9" s="36"/>
      <c r="K9" s="36"/>
      <c r="L9" s="36"/>
      <c r="M9" s="36"/>
      <c r="N9" s="36"/>
      <c r="O9" s="81" t="s">
        <v>659</v>
      </c>
      <c r="P9" s="41"/>
      <c r="Q9" s="41"/>
      <c r="R9" s="40"/>
      <c r="S9" s="40"/>
      <c r="T9" s="41" t="s">
        <v>493</v>
      </c>
      <c r="U9" s="44">
        <v>350</v>
      </c>
    </row>
    <row r="10" spans="1:21" s="43" customFormat="1" ht="15.75" customHeight="1" x14ac:dyDescent="0.35">
      <c r="A10" s="73" t="s">
        <v>660</v>
      </c>
      <c r="B10" s="82" t="s">
        <v>267</v>
      </c>
      <c r="C10" s="35" t="s">
        <v>645</v>
      </c>
      <c r="D10" s="47" t="s">
        <v>483</v>
      </c>
      <c r="E10" s="81"/>
      <c r="F10" s="32" t="s">
        <v>455</v>
      </c>
      <c r="G10" s="32" t="s">
        <v>643</v>
      </c>
      <c r="H10" s="35" t="s">
        <v>645</v>
      </c>
      <c r="I10" s="35"/>
      <c r="J10" s="36"/>
      <c r="K10" s="36" t="s">
        <v>491</v>
      </c>
      <c r="L10" s="36" t="s">
        <v>661</v>
      </c>
      <c r="M10" s="36"/>
      <c r="N10" s="36"/>
      <c r="O10" s="82" t="s">
        <v>662</v>
      </c>
      <c r="P10" s="41"/>
      <c r="Q10" s="41"/>
      <c r="R10" s="40"/>
      <c r="S10" s="40"/>
      <c r="T10" s="41" t="s">
        <v>493</v>
      </c>
      <c r="U10" s="42">
        <v>360</v>
      </c>
    </row>
    <row r="11" spans="1:21" s="43" customFormat="1" ht="15.75" customHeight="1" x14ac:dyDescent="0.35">
      <c r="A11" s="83" t="s">
        <v>667</v>
      </c>
      <c r="B11" s="81" t="s">
        <v>668</v>
      </c>
      <c r="C11" s="80" t="s">
        <v>666</v>
      </c>
      <c r="D11" s="80" t="s">
        <v>15</v>
      </c>
      <c r="E11" s="81"/>
      <c r="F11" s="84" t="s">
        <v>685</v>
      </c>
      <c r="G11" s="84" t="s">
        <v>669</v>
      </c>
      <c r="H11" s="76" t="s">
        <v>666</v>
      </c>
      <c r="I11" s="35"/>
      <c r="J11" s="36"/>
      <c r="K11" s="36"/>
      <c r="L11" s="36"/>
      <c r="M11" s="36"/>
      <c r="N11" s="36"/>
      <c r="O11" s="81" t="s">
        <v>377</v>
      </c>
      <c r="P11" s="41"/>
      <c r="Q11" s="41"/>
      <c r="R11" s="40"/>
      <c r="S11" s="40"/>
      <c r="T11" s="41" t="s">
        <v>493</v>
      </c>
      <c r="U11" s="44">
        <v>370</v>
      </c>
    </row>
    <row r="12" spans="1:21" s="43" customFormat="1" ht="15.75" customHeight="1" x14ac:dyDescent="0.35">
      <c r="A12" s="78" t="s">
        <v>682</v>
      </c>
      <c r="B12" s="81" t="s">
        <v>670</v>
      </c>
      <c r="C12" s="80" t="s">
        <v>666</v>
      </c>
      <c r="D12" s="80" t="s">
        <v>15</v>
      </c>
      <c r="E12" s="85"/>
      <c r="F12" s="84" t="s">
        <v>685</v>
      </c>
      <c r="G12" s="84" t="s">
        <v>673</v>
      </c>
      <c r="H12" s="76" t="s">
        <v>666</v>
      </c>
      <c r="I12" s="35"/>
      <c r="J12" s="36"/>
      <c r="K12" s="36"/>
      <c r="L12" s="36"/>
      <c r="M12" s="36"/>
      <c r="N12" s="36"/>
      <c r="O12" s="81" t="s">
        <v>378</v>
      </c>
      <c r="P12" s="41"/>
      <c r="Q12" s="41"/>
      <c r="R12" s="40"/>
      <c r="S12" s="40"/>
      <c r="T12" s="41" t="s">
        <v>493</v>
      </c>
      <c r="U12" s="42">
        <v>380</v>
      </c>
    </row>
    <row r="13" spans="1:21" s="43" customFormat="1" ht="15.75" customHeight="1" x14ac:dyDescent="0.35">
      <c r="A13" s="58" t="s">
        <v>687</v>
      </c>
      <c r="B13" s="87" t="s">
        <v>683</v>
      </c>
      <c r="C13" s="80" t="s">
        <v>666</v>
      </c>
      <c r="D13" s="39" t="s">
        <v>483</v>
      </c>
      <c r="E13" s="39"/>
      <c r="F13" s="84" t="s">
        <v>685</v>
      </c>
      <c r="G13" s="71" t="s">
        <v>675</v>
      </c>
      <c r="H13" s="76" t="s">
        <v>666</v>
      </c>
      <c r="I13" s="57"/>
      <c r="J13" s="41"/>
      <c r="K13" s="41" t="s">
        <v>674</v>
      </c>
      <c r="L13" s="41"/>
      <c r="M13" s="41"/>
      <c r="N13" s="41"/>
      <c r="O13" s="37" t="s">
        <v>450</v>
      </c>
      <c r="P13" s="41"/>
      <c r="Q13" s="41"/>
      <c r="R13" s="40"/>
      <c r="S13" s="40"/>
      <c r="T13" s="41" t="s">
        <v>493</v>
      </c>
      <c r="U13" s="44">
        <v>390</v>
      </c>
    </row>
    <row r="14" spans="1:21" s="51" customFormat="1" ht="15.75" customHeight="1" x14ac:dyDescent="0.35">
      <c r="A14" s="58" t="s">
        <v>686</v>
      </c>
      <c r="B14" s="88" t="s">
        <v>684</v>
      </c>
      <c r="C14" s="80" t="s">
        <v>666</v>
      </c>
      <c r="D14" s="47" t="s">
        <v>483</v>
      </c>
      <c r="E14" s="47"/>
      <c r="F14" s="84" t="s">
        <v>685</v>
      </c>
      <c r="G14" s="72" t="s">
        <v>675</v>
      </c>
      <c r="H14" s="76" t="s">
        <v>666</v>
      </c>
      <c r="I14" s="35"/>
      <c r="J14" s="49"/>
      <c r="K14" s="49"/>
      <c r="L14" s="49"/>
      <c r="M14" s="49"/>
      <c r="N14" s="49"/>
      <c r="O14" s="46" t="s">
        <v>391</v>
      </c>
      <c r="P14" s="49"/>
      <c r="Q14" s="49"/>
      <c r="R14" s="40"/>
      <c r="S14" s="48"/>
      <c r="T14" s="41" t="s">
        <v>493</v>
      </c>
      <c r="U14" s="50">
        <v>400</v>
      </c>
    </row>
    <row r="15" spans="1:21" s="51" customFormat="1" ht="15.75" customHeight="1" x14ac:dyDescent="0.35">
      <c r="A15" s="67" t="s">
        <v>688</v>
      </c>
      <c r="B15" s="46" t="s">
        <v>677</v>
      </c>
      <c r="C15" s="80" t="s">
        <v>666</v>
      </c>
      <c r="D15" s="47" t="s">
        <v>15</v>
      </c>
      <c r="E15" s="47"/>
      <c r="F15" s="84" t="s">
        <v>685</v>
      </c>
      <c r="G15" s="72" t="s">
        <v>678</v>
      </c>
      <c r="H15" s="76" t="s">
        <v>666</v>
      </c>
      <c r="I15" s="35"/>
      <c r="J15" s="49"/>
      <c r="K15" s="49"/>
      <c r="L15" s="49"/>
      <c r="M15" s="49"/>
      <c r="N15" s="49"/>
      <c r="O15" s="46" t="s">
        <v>392</v>
      </c>
      <c r="P15" s="49"/>
      <c r="Q15" s="49"/>
      <c r="R15" s="40"/>
      <c r="S15" s="48"/>
      <c r="T15" s="41" t="s">
        <v>493</v>
      </c>
      <c r="U15" s="53">
        <v>410</v>
      </c>
    </row>
    <row r="16" spans="1:21" s="51" customFormat="1" ht="15.75" customHeight="1" x14ac:dyDescent="0.35">
      <c r="A16" s="67" t="s">
        <v>680</v>
      </c>
      <c r="B16" s="46" t="s">
        <v>274</v>
      </c>
      <c r="C16" s="80" t="s">
        <v>666</v>
      </c>
      <c r="D16" s="47" t="s">
        <v>15</v>
      </c>
      <c r="E16" s="47"/>
      <c r="F16" s="32" t="s">
        <v>455</v>
      </c>
      <c r="G16" s="32" t="s">
        <v>681</v>
      </c>
      <c r="H16" s="76" t="s">
        <v>666</v>
      </c>
      <c r="I16" s="35"/>
      <c r="J16" s="49"/>
      <c r="K16" s="36" t="s">
        <v>491</v>
      </c>
      <c r="L16" s="49" t="s">
        <v>679</v>
      </c>
      <c r="M16" s="49"/>
      <c r="N16" s="49"/>
      <c r="O16" s="46" t="s">
        <v>389</v>
      </c>
      <c r="P16" s="49"/>
      <c r="Q16" s="49"/>
      <c r="R16" s="40"/>
      <c r="S16" s="48"/>
      <c r="T16" s="41" t="s">
        <v>493</v>
      </c>
      <c r="U16" s="50">
        <v>420</v>
      </c>
    </row>
  </sheetData>
  <mergeCells count="2">
    <mergeCell ref="A1:D1"/>
    <mergeCell ref="E1:T1"/>
  </mergeCells>
  <conditionalFormatting sqref="A17:D266 L17:L277 F17:F587 O13:O16 E13:E16 I13:I16 A13:B16">
    <cfRule type="containsText" dxfId="199" priority="7" operator="containsText" text="|">
      <formula>NOT(ISERROR(SEARCH("|",A13)))</formula>
    </cfRule>
  </conditionalFormatting>
  <conditionalFormatting sqref="B17:B266 A13:A16">
    <cfRule type="duplicateValues" dxfId="198" priority="8"/>
  </conditionalFormatting>
  <conditionalFormatting sqref="B4:C4 E8:E12 A7:B7 A11:C11 B8:B10 I4:I12 O4:O12 B5:B6 A12:B12">
    <cfRule type="containsText" dxfId="197" priority="5" operator="containsText" text="|">
      <formula>NOT(ISERROR(SEARCH("|",A4)))</formula>
    </cfRule>
  </conditionalFormatting>
  <conditionalFormatting sqref="A11:A12 A7">
    <cfRule type="duplicateValues" dxfId="196" priority="6"/>
  </conditionalFormatting>
  <conditionalFormatting sqref="H4:H10">
    <cfRule type="containsText" dxfId="195" priority="1" operator="containsText" text="|">
      <formula>NOT(ISERROR(SEARCH("|",H4)))</formula>
    </cfRule>
  </conditionalFormatting>
  <conditionalFormatting sqref="E4:E7">
    <cfRule type="containsText" dxfId="194" priority="4" operator="containsText" text="|">
      <formula>NOT(ISERROR(SEARCH("|",E4)))</formula>
    </cfRule>
  </conditionalFormatting>
  <conditionalFormatting sqref="C5:C10">
    <cfRule type="containsText" dxfId="193" priority="3" operator="containsText" text="|">
      <formula>NOT(ISERROR(SEARCH("|",C5)))</formula>
    </cfRule>
  </conditionalFormatting>
  <conditionalFormatting sqref="C12:C16">
    <cfRule type="containsText" dxfId="192" priority="2" operator="containsText" text="|">
      <formula>NOT(ISERROR(SEARCH("|",C12)))</formula>
    </cfRule>
  </conditionalFormatting>
  <dataValidations count="1">
    <dataValidation showInputMessage="1" showErrorMessage="1" sqref="B4 E4:E7"/>
  </dataValidations>
  <printOptions horizontalCentered="1" gridLines="1"/>
  <pageMargins left="0.7" right="0.7" top="0.75" bottom="0.75" header="0" footer="0"/>
  <pageSetup paperSize="9" fitToHeight="0" pageOrder="overThenDown" orientation="landscape" cellComments="atEnd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[1]Enum!#REF!</xm:f>
          </x14:formula1>
          <xm:sqref>D4:D6 D11:D12</xm:sqref>
        </x14:dataValidation>
        <x14:dataValidation type="list" allowBlank="1" showInputMessage="1" showErrorMessage="1">
          <x14:formula1>
            <xm:f>[1]Enum!#REF!</xm:f>
          </x14:formula1>
          <xm:sqref>N4:N12</xm:sqref>
        </x14:dataValidation>
        <x14:dataValidation type="list" allowBlank="1" showInputMessage="1" showErrorMessage="1">
          <x14:formula1>
            <xm:f>Enum!$A$2:$A$6</xm:f>
          </x14:formula1>
          <xm:sqref>D13:D16 D7:D10</xm:sqref>
        </x14:dataValidation>
        <x14:dataValidation type="list" allowBlank="1" showInputMessage="1" showErrorMessage="1">
          <x14:formula1>
            <xm:f>Enum!$D$2:$D$4</xm:f>
          </x14:formula1>
          <xm:sqref>R4:T16</xm:sqref>
        </x14:dataValidation>
        <x14:dataValidation type="list" allowBlank="1" showInputMessage="1" showErrorMessage="1">
          <x14:formula1>
            <xm:f>Enum!$F$2:$F$4</xm:f>
          </x14:formula1>
          <xm:sqref>N13:N16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outlinePr summaryBelow="0" summaryRight="0"/>
    <pageSetUpPr fitToPage="1"/>
  </sheetPr>
  <dimension ref="A1:U20"/>
  <sheetViews>
    <sheetView zoomScaleNormal="100" workbookViewId="0">
      <pane ySplit="3" topLeftCell="A4" activePane="bottomLeft" state="frozen"/>
      <selection activeCell="D4" sqref="D4"/>
      <selection pane="bottomLeft" activeCell="A10" sqref="A10"/>
    </sheetView>
  </sheetViews>
  <sheetFormatPr defaultColWidth="12.59765625" defaultRowHeight="15" customHeight="1" outlineLevelCol="3" x14ac:dyDescent="0.35"/>
  <cols>
    <col min="1" max="1" width="30.1328125" bestFit="1" customWidth="1"/>
    <col min="2" max="2" width="41" bestFit="1" customWidth="1"/>
    <col min="3" max="3" width="19.86328125" bestFit="1" customWidth="1"/>
    <col min="4" max="4" width="18.73046875" bestFit="1" customWidth="1"/>
    <col min="5" max="5" width="33" bestFit="1" customWidth="1"/>
    <col min="6" max="6" width="25.86328125" customWidth="1" outlineLevel="1"/>
    <col min="7" max="7" width="16.86328125" customWidth="1" outlineLevel="1"/>
    <col min="8" max="8" width="16.59765625" customWidth="1" outlineLevel="2"/>
    <col min="9" max="9" width="19.59765625" customWidth="1" outlineLevel="2"/>
    <col min="10" max="10" width="21.73046875" customWidth="1" outlineLevel="3"/>
    <col min="11" max="11" width="28.73046875" customWidth="1" outlineLevel="3"/>
    <col min="12" max="12" width="17.59765625" customWidth="1" outlineLevel="3"/>
    <col min="13" max="13" width="13.1328125" customWidth="1" outlineLevel="3"/>
    <col min="14" max="14" width="15.265625" customWidth="1" outlineLevel="3"/>
    <col min="15" max="15" width="34.3984375" customWidth="1" outlineLevel="1"/>
    <col min="16" max="16" width="19" customWidth="1" outlineLevel="1"/>
    <col min="17" max="17" width="19.73046875" customWidth="1" outlineLevel="2"/>
    <col min="18" max="18" width="16.3984375" customWidth="1" outlineLevel="3"/>
    <col min="19" max="19" width="22.3984375" customWidth="1" outlineLevel="3"/>
    <col min="20" max="20" width="21" customWidth="1" outlineLevel="3"/>
    <col min="21" max="21" width="22" bestFit="1" customWidth="1"/>
  </cols>
  <sheetData>
    <row r="1" spans="1:21" ht="17.649999999999999" x14ac:dyDescent="0.5">
      <c r="A1" s="105" t="s">
        <v>573</v>
      </c>
      <c r="B1" s="105"/>
      <c r="C1" s="105"/>
      <c r="D1" s="105"/>
      <c r="E1" s="106" t="s">
        <v>574</v>
      </c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54" t="s">
        <v>575</v>
      </c>
    </row>
    <row r="2" spans="1:21" ht="13.15" x14ac:dyDescent="0.35">
      <c r="A2" s="28">
        <f t="shared" ref="A2:U2" si="0">COLUMN()-1</f>
        <v>0</v>
      </c>
      <c r="B2" s="28">
        <f t="shared" si="0"/>
        <v>1</v>
      </c>
      <c r="C2" s="28">
        <f t="shared" si="0"/>
        <v>2</v>
      </c>
      <c r="D2" s="28">
        <f t="shared" si="0"/>
        <v>3</v>
      </c>
      <c r="E2" s="28">
        <f t="shared" si="0"/>
        <v>4</v>
      </c>
      <c r="F2" s="28">
        <f t="shared" si="0"/>
        <v>5</v>
      </c>
      <c r="G2" s="28">
        <f t="shared" si="0"/>
        <v>6</v>
      </c>
      <c r="H2" s="28">
        <f t="shared" si="0"/>
        <v>7</v>
      </c>
      <c r="I2" s="28">
        <f t="shared" si="0"/>
        <v>8</v>
      </c>
      <c r="J2" s="28">
        <f t="shared" si="0"/>
        <v>9</v>
      </c>
      <c r="K2" s="28">
        <f t="shared" si="0"/>
        <v>10</v>
      </c>
      <c r="L2" s="28">
        <f t="shared" si="0"/>
        <v>11</v>
      </c>
      <c r="M2" s="28">
        <f t="shared" si="0"/>
        <v>12</v>
      </c>
      <c r="N2" s="28">
        <f t="shared" si="0"/>
        <v>13</v>
      </c>
      <c r="O2" s="28">
        <f t="shared" si="0"/>
        <v>14</v>
      </c>
      <c r="P2" s="28">
        <f t="shared" si="0"/>
        <v>15</v>
      </c>
      <c r="Q2" s="28">
        <f t="shared" si="0"/>
        <v>16</v>
      </c>
      <c r="R2" s="28">
        <f t="shared" si="0"/>
        <v>17</v>
      </c>
      <c r="S2" s="28">
        <f t="shared" si="0"/>
        <v>18</v>
      </c>
      <c r="T2" s="28">
        <f t="shared" si="0"/>
        <v>19</v>
      </c>
      <c r="U2" s="28">
        <f t="shared" si="0"/>
        <v>20</v>
      </c>
    </row>
    <row r="3" spans="1:21" s="60" customFormat="1" ht="24" customHeight="1" x14ac:dyDescent="0.4">
      <c r="A3" s="68" t="s">
        <v>525</v>
      </c>
      <c r="B3" s="68" t="s">
        <v>524</v>
      </c>
      <c r="C3" s="68" t="s">
        <v>527</v>
      </c>
      <c r="D3" s="68" t="s">
        <v>528</v>
      </c>
      <c r="E3" s="69" t="s">
        <v>485</v>
      </c>
      <c r="F3" s="69" t="s">
        <v>486</v>
      </c>
      <c r="G3" s="69" t="s">
        <v>487</v>
      </c>
      <c r="H3" s="69" t="s">
        <v>544</v>
      </c>
      <c r="I3" s="69" t="s">
        <v>569</v>
      </c>
      <c r="J3" s="69" t="s">
        <v>529</v>
      </c>
      <c r="K3" s="69" t="s">
        <v>474</v>
      </c>
      <c r="L3" s="69" t="s">
        <v>475</v>
      </c>
      <c r="M3" s="69" t="s">
        <v>476</v>
      </c>
      <c r="N3" s="69" t="s">
        <v>477</v>
      </c>
      <c r="O3" s="68" t="s">
        <v>526</v>
      </c>
      <c r="P3" s="69" t="s">
        <v>489</v>
      </c>
      <c r="Q3" s="69" t="s">
        <v>530</v>
      </c>
      <c r="R3" s="69" t="s">
        <v>532</v>
      </c>
      <c r="S3" s="69" t="s">
        <v>572</v>
      </c>
      <c r="T3" s="69" t="s">
        <v>625</v>
      </c>
      <c r="U3" s="70" t="s">
        <v>473</v>
      </c>
    </row>
    <row r="4" spans="1:21" s="43" customFormat="1" ht="15.75" customHeight="1" x14ac:dyDescent="0.35">
      <c r="A4" s="38" t="s">
        <v>403</v>
      </c>
      <c r="B4" s="37" t="s">
        <v>373</v>
      </c>
      <c r="C4" s="38" t="s">
        <v>449</v>
      </c>
      <c r="D4" s="39" t="s">
        <v>15</v>
      </c>
      <c r="E4" s="39" t="s">
        <v>540</v>
      </c>
      <c r="F4" s="71" t="s">
        <v>455</v>
      </c>
      <c r="G4" s="71" t="s">
        <v>627</v>
      </c>
      <c r="H4" s="59" t="s">
        <v>454</v>
      </c>
      <c r="I4" s="57" t="s">
        <v>542</v>
      </c>
      <c r="J4" s="41"/>
      <c r="K4" s="41"/>
      <c r="L4" s="41"/>
      <c r="M4" s="41"/>
      <c r="N4" s="41"/>
      <c r="O4" s="37" t="s">
        <v>373</v>
      </c>
      <c r="P4" s="41"/>
      <c r="Q4" s="41"/>
      <c r="R4" s="40"/>
      <c r="S4" s="40"/>
      <c r="T4" s="41"/>
      <c r="U4" s="42">
        <v>300</v>
      </c>
    </row>
    <row r="5" spans="1:21" s="43" customFormat="1" ht="15.75" customHeight="1" x14ac:dyDescent="0.35">
      <c r="A5" s="38" t="s">
        <v>404</v>
      </c>
      <c r="B5" s="37" t="s">
        <v>374</v>
      </c>
      <c r="C5" s="38" t="s">
        <v>449</v>
      </c>
      <c r="D5" s="39" t="s">
        <v>15</v>
      </c>
      <c r="E5" s="39" t="s">
        <v>540</v>
      </c>
      <c r="F5" s="71" t="s">
        <v>455</v>
      </c>
      <c r="G5" s="71" t="s">
        <v>628</v>
      </c>
      <c r="H5" s="59" t="s">
        <v>454</v>
      </c>
      <c r="I5" s="57" t="s">
        <v>542</v>
      </c>
      <c r="J5" s="41"/>
      <c r="K5" s="41"/>
      <c r="L5" s="41"/>
      <c r="M5" s="41"/>
      <c r="N5" s="41"/>
      <c r="O5" s="37" t="s">
        <v>374</v>
      </c>
      <c r="P5" s="41"/>
      <c r="Q5" s="41"/>
      <c r="R5" s="40"/>
      <c r="S5" s="40"/>
      <c r="T5" s="41"/>
      <c r="U5" s="44">
        <v>310</v>
      </c>
    </row>
    <row r="6" spans="1:21" s="43" customFormat="1" ht="15.75" customHeight="1" x14ac:dyDescent="0.35">
      <c r="A6" s="58" t="s">
        <v>577</v>
      </c>
      <c r="B6" s="37" t="s">
        <v>471</v>
      </c>
      <c r="C6" s="38" t="s">
        <v>449</v>
      </c>
      <c r="D6" s="39" t="s">
        <v>15</v>
      </c>
      <c r="E6" s="39" t="s">
        <v>536</v>
      </c>
      <c r="F6" s="71" t="s">
        <v>455</v>
      </c>
      <c r="G6" s="71" t="s">
        <v>629</v>
      </c>
      <c r="H6" s="59" t="s">
        <v>454</v>
      </c>
      <c r="I6" s="57" t="s">
        <v>542</v>
      </c>
      <c r="J6" s="41"/>
      <c r="K6" s="41"/>
      <c r="L6" s="41"/>
      <c r="M6" s="41"/>
      <c r="N6" s="41"/>
      <c r="O6" s="37" t="s">
        <v>379</v>
      </c>
      <c r="P6" s="41"/>
      <c r="Q6" s="41"/>
      <c r="R6" s="40"/>
      <c r="S6" s="40"/>
      <c r="T6" s="41"/>
      <c r="U6" s="42">
        <v>320</v>
      </c>
    </row>
    <row r="7" spans="1:21" s="43" customFormat="1" ht="15.75" customHeight="1" x14ac:dyDescent="0.35">
      <c r="A7" s="38" t="s">
        <v>410</v>
      </c>
      <c r="B7" s="37" t="s">
        <v>472</v>
      </c>
      <c r="C7" s="38" t="s">
        <v>449</v>
      </c>
      <c r="D7" s="39" t="s">
        <v>15</v>
      </c>
      <c r="E7" s="39" t="s">
        <v>536</v>
      </c>
      <c r="F7" s="71" t="s">
        <v>455</v>
      </c>
      <c r="G7" s="71" t="s">
        <v>630</v>
      </c>
      <c r="H7" s="59" t="s">
        <v>454</v>
      </c>
      <c r="I7" s="57" t="s">
        <v>542</v>
      </c>
      <c r="J7" s="41"/>
      <c r="K7" s="41"/>
      <c r="L7" s="41"/>
      <c r="M7" s="41"/>
      <c r="N7" s="41"/>
      <c r="O7" s="37" t="s">
        <v>380</v>
      </c>
      <c r="P7" s="41"/>
      <c r="Q7" s="41"/>
      <c r="R7" s="40"/>
      <c r="S7" s="40"/>
      <c r="T7" s="41"/>
      <c r="U7" s="44">
        <v>330</v>
      </c>
    </row>
    <row r="8" spans="1:21" s="43" customFormat="1" ht="15.75" customHeight="1" x14ac:dyDescent="0.35">
      <c r="A8" s="38" t="s">
        <v>580</v>
      </c>
      <c r="B8" s="37" t="s">
        <v>478</v>
      </c>
      <c r="C8" s="45" t="s">
        <v>449</v>
      </c>
      <c r="D8" s="39" t="s">
        <v>15</v>
      </c>
      <c r="E8" s="39" t="s">
        <v>537</v>
      </c>
      <c r="F8" s="71" t="s">
        <v>455</v>
      </c>
      <c r="G8" s="71" t="s">
        <v>631</v>
      </c>
      <c r="H8" s="59" t="s">
        <v>454</v>
      </c>
      <c r="I8" s="57" t="s">
        <v>542</v>
      </c>
      <c r="J8" s="41"/>
      <c r="K8" s="41"/>
      <c r="L8" s="41"/>
      <c r="M8" s="41"/>
      <c r="N8" s="41"/>
      <c r="O8" s="37" t="s">
        <v>383</v>
      </c>
      <c r="P8" s="41"/>
      <c r="Q8" s="41"/>
      <c r="R8" s="40"/>
      <c r="S8" s="40"/>
      <c r="T8" s="36"/>
      <c r="U8" s="42">
        <v>340</v>
      </c>
    </row>
    <row r="9" spans="1:21" s="43" customFormat="1" ht="15.75" customHeight="1" x14ac:dyDescent="0.35">
      <c r="A9" s="58" t="s">
        <v>414</v>
      </c>
      <c r="B9" s="37" t="s">
        <v>545</v>
      </c>
      <c r="C9" s="45" t="s">
        <v>449</v>
      </c>
      <c r="D9" s="39" t="s">
        <v>15</v>
      </c>
      <c r="E9" s="39" t="s">
        <v>537</v>
      </c>
      <c r="F9" s="71" t="s">
        <v>455</v>
      </c>
      <c r="G9" s="71" t="s">
        <v>632</v>
      </c>
      <c r="H9" s="59" t="s">
        <v>454</v>
      </c>
      <c r="I9" s="57" t="s">
        <v>542</v>
      </c>
      <c r="J9" s="41"/>
      <c r="K9" s="41"/>
      <c r="L9" s="41"/>
      <c r="M9" s="41"/>
      <c r="N9" s="41"/>
      <c r="O9" s="37" t="s">
        <v>384</v>
      </c>
      <c r="P9" s="41"/>
      <c r="Q9" s="41"/>
      <c r="R9" s="40"/>
      <c r="S9" s="40"/>
      <c r="T9" s="41"/>
      <c r="U9" s="44">
        <v>350</v>
      </c>
    </row>
    <row r="10" spans="1:21" s="43" customFormat="1" ht="15.75" customHeight="1" x14ac:dyDescent="0.35">
      <c r="A10" s="58" t="s">
        <v>576</v>
      </c>
      <c r="B10" s="37" t="s">
        <v>479</v>
      </c>
      <c r="C10" s="45" t="s">
        <v>449</v>
      </c>
      <c r="D10" s="39" t="s">
        <v>15</v>
      </c>
      <c r="E10" s="39" t="s">
        <v>538</v>
      </c>
      <c r="F10" s="71" t="s">
        <v>455</v>
      </c>
      <c r="G10" s="71" t="s">
        <v>633</v>
      </c>
      <c r="H10" s="59" t="s">
        <v>454</v>
      </c>
      <c r="I10" s="57" t="s">
        <v>542</v>
      </c>
      <c r="J10" s="41"/>
      <c r="K10" s="41"/>
      <c r="L10" s="41"/>
      <c r="M10" s="41"/>
      <c r="N10" s="41"/>
      <c r="O10" s="37" t="s">
        <v>385</v>
      </c>
      <c r="P10" s="41"/>
      <c r="Q10" s="41"/>
      <c r="R10" s="40"/>
      <c r="S10" s="40"/>
      <c r="T10" s="41"/>
      <c r="U10" s="42">
        <v>360</v>
      </c>
    </row>
    <row r="11" spans="1:21" s="43" customFormat="1" ht="15.75" customHeight="1" x14ac:dyDescent="0.35">
      <c r="A11" s="38" t="s">
        <v>416</v>
      </c>
      <c r="B11" s="37" t="s">
        <v>480</v>
      </c>
      <c r="C11" s="45" t="s">
        <v>449</v>
      </c>
      <c r="D11" s="39" t="s">
        <v>15</v>
      </c>
      <c r="E11" s="39" t="s">
        <v>538</v>
      </c>
      <c r="F11" s="71" t="s">
        <v>455</v>
      </c>
      <c r="G11" s="71" t="s">
        <v>634</v>
      </c>
      <c r="H11" s="59" t="s">
        <v>454</v>
      </c>
      <c r="I11" s="57" t="s">
        <v>542</v>
      </c>
      <c r="J11" s="41"/>
      <c r="K11" s="41"/>
      <c r="L11" s="41"/>
      <c r="M11" s="41"/>
      <c r="N11" s="41"/>
      <c r="O11" s="37" t="s">
        <v>386</v>
      </c>
      <c r="P11" s="41"/>
      <c r="Q11" s="41"/>
      <c r="R11" s="40"/>
      <c r="S11" s="40"/>
      <c r="T11" s="41"/>
      <c r="U11" s="44">
        <v>370</v>
      </c>
    </row>
    <row r="12" spans="1:21" s="43" customFormat="1" ht="15.75" customHeight="1" x14ac:dyDescent="0.35">
      <c r="A12" s="38" t="s">
        <v>581</v>
      </c>
      <c r="B12" s="37" t="s">
        <v>550</v>
      </c>
      <c r="C12" s="45" t="s">
        <v>449</v>
      </c>
      <c r="D12" s="39" t="s">
        <v>15</v>
      </c>
      <c r="E12" s="39" t="s">
        <v>546</v>
      </c>
      <c r="F12" s="71" t="s">
        <v>455</v>
      </c>
      <c r="G12" s="71" t="s">
        <v>635</v>
      </c>
      <c r="H12" s="59" t="s">
        <v>454</v>
      </c>
      <c r="I12" s="57" t="s">
        <v>542</v>
      </c>
      <c r="J12" s="41"/>
      <c r="K12" s="41"/>
      <c r="L12" s="41"/>
      <c r="M12" s="41"/>
      <c r="N12" s="41"/>
      <c r="O12" s="37" t="s">
        <v>382</v>
      </c>
      <c r="P12" s="41"/>
      <c r="Q12" s="41"/>
      <c r="R12" s="40"/>
      <c r="S12" s="40"/>
      <c r="T12" s="41"/>
      <c r="U12" s="42">
        <v>380</v>
      </c>
    </row>
    <row r="13" spans="1:21" s="43" customFormat="1" ht="15.75" customHeight="1" x14ac:dyDescent="0.35">
      <c r="A13" s="38" t="s">
        <v>417</v>
      </c>
      <c r="B13" s="37" t="s">
        <v>450</v>
      </c>
      <c r="C13" s="45" t="s">
        <v>449</v>
      </c>
      <c r="D13" s="39" t="s">
        <v>15</v>
      </c>
      <c r="E13" s="39" t="s">
        <v>546</v>
      </c>
      <c r="F13" s="71" t="s">
        <v>455</v>
      </c>
      <c r="G13" s="71" t="s">
        <v>636</v>
      </c>
      <c r="H13" s="59" t="s">
        <v>454</v>
      </c>
      <c r="I13" s="57" t="s">
        <v>542</v>
      </c>
      <c r="J13" s="41"/>
      <c r="K13" s="41"/>
      <c r="L13" s="41"/>
      <c r="M13" s="41"/>
      <c r="N13" s="41"/>
      <c r="O13" s="37" t="s">
        <v>450</v>
      </c>
      <c r="P13" s="41"/>
      <c r="Q13" s="41"/>
      <c r="R13" s="40"/>
      <c r="S13" s="40"/>
      <c r="T13" s="41"/>
      <c r="U13" s="44">
        <v>390</v>
      </c>
    </row>
    <row r="14" spans="1:21" s="51" customFormat="1" ht="15.75" customHeight="1" x14ac:dyDescent="0.35">
      <c r="A14" s="52" t="s">
        <v>397</v>
      </c>
      <c r="B14" s="46" t="s">
        <v>391</v>
      </c>
      <c r="C14" s="52" t="s">
        <v>623</v>
      </c>
      <c r="D14" s="47" t="s">
        <v>483</v>
      </c>
      <c r="E14" s="47" t="s">
        <v>539</v>
      </c>
      <c r="F14" s="72" t="s">
        <v>455</v>
      </c>
      <c r="G14" s="72" t="s">
        <v>637</v>
      </c>
      <c r="H14" s="59" t="s">
        <v>454</v>
      </c>
      <c r="I14" s="35" t="s">
        <v>626</v>
      </c>
      <c r="J14" s="49"/>
      <c r="K14" s="49"/>
      <c r="L14" s="49"/>
      <c r="M14" s="49"/>
      <c r="N14" s="49"/>
      <c r="O14" s="46" t="s">
        <v>391</v>
      </c>
      <c r="P14" s="49"/>
      <c r="Q14" s="49"/>
      <c r="R14" s="40"/>
      <c r="S14" s="48"/>
      <c r="T14" s="49"/>
      <c r="U14" s="50">
        <v>400</v>
      </c>
    </row>
    <row r="15" spans="1:21" s="51" customFormat="1" ht="15.75" customHeight="1" x14ac:dyDescent="0.35">
      <c r="A15" s="52" t="s">
        <v>398</v>
      </c>
      <c r="B15" s="46" t="s">
        <v>392</v>
      </c>
      <c r="C15" s="67" t="s">
        <v>422</v>
      </c>
      <c r="D15" s="47" t="s">
        <v>483</v>
      </c>
      <c r="E15" s="47" t="s">
        <v>539</v>
      </c>
      <c r="F15" s="72" t="s">
        <v>455</v>
      </c>
      <c r="G15" s="72" t="s">
        <v>638</v>
      </c>
      <c r="H15" s="59" t="s">
        <v>454</v>
      </c>
      <c r="I15" s="35" t="s">
        <v>626</v>
      </c>
      <c r="J15" s="49"/>
      <c r="K15" s="49"/>
      <c r="L15" s="49"/>
      <c r="M15" s="49"/>
      <c r="N15" s="49"/>
      <c r="O15" s="46" t="s">
        <v>392</v>
      </c>
      <c r="P15" s="49"/>
      <c r="Q15" s="49"/>
      <c r="R15" s="40"/>
      <c r="S15" s="48"/>
      <c r="T15" s="49"/>
      <c r="U15" s="53">
        <v>410</v>
      </c>
    </row>
    <row r="16" spans="1:21" s="51" customFormat="1" ht="15.75" customHeight="1" x14ac:dyDescent="0.35">
      <c r="A16" s="52" t="s">
        <v>395</v>
      </c>
      <c r="B16" s="46" t="s">
        <v>389</v>
      </c>
      <c r="C16" s="52" t="s">
        <v>422</v>
      </c>
      <c r="D16" s="47" t="s">
        <v>483</v>
      </c>
      <c r="E16" s="47" t="s">
        <v>539</v>
      </c>
      <c r="F16" s="72" t="s">
        <v>455</v>
      </c>
      <c r="G16" s="72" t="s">
        <v>639</v>
      </c>
      <c r="H16" s="59" t="s">
        <v>454</v>
      </c>
      <c r="I16" s="35" t="s">
        <v>626</v>
      </c>
      <c r="J16" s="49"/>
      <c r="K16" s="49"/>
      <c r="L16" s="49"/>
      <c r="M16" s="49"/>
      <c r="N16" s="49"/>
      <c r="O16" s="46" t="s">
        <v>389</v>
      </c>
      <c r="P16" s="49"/>
      <c r="Q16" s="49"/>
      <c r="R16" s="40"/>
      <c r="S16" s="48"/>
      <c r="T16" s="49"/>
      <c r="U16" s="50">
        <v>420</v>
      </c>
    </row>
    <row r="17" spans="1:21" s="51" customFormat="1" ht="15.75" customHeight="1" x14ac:dyDescent="0.35">
      <c r="A17" s="52" t="s">
        <v>396</v>
      </c>
      <c r="B17" s="46" t="s">
        <v>549</v>
      </c>
      <c r="C17" s="52" t="s">
        <v>422</v>
      </c>
      <c r="D17" s="47" t="s">
        <v>483</v>
      </c>
      <c r="E17" s="47" t="s">
        <v>539</v>
      </c>
      <c r="F17" s="72" t="s">
        <v>455</v>
      </c>
      <c r="G17" s="72" t="s">
        <v>640</v>
      </c>
      <c r="H17" s="59" t="s">
        <v>454</v>
      </c>
      <c r="I17" s="35" t="s">
        <v>626</v>
      </c>
      <c r="J17" s="49"/>
      <c r="K17" s="49"/>
      <c r="L17" s="49"/>
      <c r="M17" s="49"/>
      <c r="N17" s="49"/>
      <c r="O17" s="46" t="s">
        <v>390</v>
      </c>
      <c r="P17" s="49"/>
      <c r="Q17" s="49"/>
      <c r="R17" s="40"/>
      <c r="S17" s="48"/>
      <c r="T17" s="49"/>
      <c r="U17" s="53">
        <v>430</v>
      </c>
    </row>
    <row r="18" spans="1:21" s="51" customFormat="1" ht="15.75" customHeight="1" x14ac:dyDescent="0.35">
      <c r="A18" s="52" t="s">
        <v>582</v>
      </c>
      <c r="B18" s="46" t="s">
        <v>548</v>
      </c>
      <c r="C18" s="52" t="s">
        <v>422</v>
      </c>
      <c r="D18" s="47" t="s">
        <v>484</v>
      </c>
      <c r="E18" s="47"/>
      <c r="F18" s="72" t="s">
        <v>455</v>
      </c>
      <c r="G18" s="72" t="s">
        <v>641</v>
      </c>
      <c r="H18" s="59" t="s">
        <v>454</v>
      </c>
      <c r="I18" s="35" t="s">
        <v>626</v>
      </c>
      <c r="J18" s="49"/>
      <c r="K18" s="49"/>
      <c r="L18" s="49"/>
      <c r="M18" s="49"/>
      <c r="N18" s="49"/>
      <c r="O18" s="46" t="s">
        <v>393</v>
      </c>
      <c r="P18" s="49"/>
      <c r="Q18" s="49"/>
      <c r="R18" s="40"/>
      <c r="S18" s="48"/>
      <c r="T18" s="36"/>
      <c r="U18" s="50">
        <v>440</v>
      </c>
    </row>
    <row r="19" spans="1:21" ht="15.75" customHeight="1" x14ac:dyDescent="0.35">
      <c r="A19" s="55" t="s">
        <v>402</v>
      </c>
      <c r="B19" s="24" t="s">
        <v>547</v>
      </c>
      <c r="C19" s="56" t="s">
        <v>584</v>
      </c>
      <c r="D19" s="1" t="s">
        <v>483</v>
      </c>
      <c r="E19" s="33" t="s">
        <v>270</v>
      </c>
      <c r="F19" s="32" t="s">
        <v>455</v>
      </c>
      <c r="G19" s="32" t="s">
        <v>642</v>
      </c>
      <c r="H19" s="59" t="s">
        <v>454</v>
      </c>
      <c r="I19" s="35" t="s">
        <v>626</v>
      </c>
      <c r="J19" s="23"/>
      <c r="K19" s="23"/>
      <c r="L19" s="23"/>
      <c r="M19" s="23"/>
      <c r="N19" s="23"/>
      <c r="O19" s="24" t="s">
        <v>372</v>
      </c>
      <c r="P19" s="23"/>
      <c r="Q19" s="23"/>
      <c r="R19" s="40"/>
      <c r="S19" s="32"/>
      <c r="T19" s="23"/>
      <c r="U19" s="26">
        <v>500</v>
      </c>
    </row>
    <row r="20" spans="1:21" ht="15" customHeight="1" x14ac:dyDescent="0.35">
      <c r="A20" s="56" t="s">
        <v>583</v>
      </c>
      <c r="B20" s="34" t="s">
        <v>267</v>
      </c>
      <c r="C20" s="30" t="s">
        <v>270</v>
      </c>
      <c r="D20" s="1" t="s">
        <v>483</v>
      </c>
      <c r="E20" s="33" t="s">
        <v>270</v>
      </c>
      <c r="F20" s="32" t="s">
        <v>455</v>
      </c>
      <c r="G20" s="32" t="s">
        <v>643</v>
      </c>
      <c r="H20" s="59" t="s">
        <v>454</v>
      </c>
      <c r="I20" s="35" t="s">
        <v>626</v>
      </c>
      <c r="J20" s="29" t="s">
        <v>492</v>
      </c>
      <c r="K20" s="29" t="s">
        <v>491</v>
      </c>
      <c r="L20" s="29" t="s">
        <v>490</v>
      </c>
      <c r="M20" s="29"/>
      <c r="N20" s="29">
        <v>0</v>
      </c>
      <c r="O20" s="34" t="s">
        <v>541</v>
      </c>
      <c r="P20" s="23"/>
      <c r="Q20" s="29"/>
      <c r="R20" s="40"/>
      <c r="S20" s="32"/>
      <c r="T20" s="23"/>
      <c r="U20" s="3">
        <v>510</v>
      </c>
    </row>
  </sheetData>
  <mergeCells count="2">
    <mergeCell ref="A1:D1"/>
    <mergeCell ref="E1:T1"/>
  </mergeCells>
  <conditionalFormatting sqref="Y17">
    <cfRule type="expression" dxfId="166" priority="2">
      <formula>1</formula>
    </cfRule>
  </conditionalFormatting>
  <conditionalFormatting sqref="A21:D270 L21:L281 F21:F591 O4:O20 E4:E20 I4:I20 A4:C20">
    <cfRule type="containsText" dxfId="165" priority="1" operator="containsText" text="|">
      <formula>NOT(ISERROR(SEARCH("|",A4)))</formula>
    </cfRule>
  </conditionalFormatting>
  <conditionalFormatting sqref="B21:B270 A4:A20">
    <cfRule type="duplicateValues" dxfId="164" priority="3"/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Enum!$A$2:$A$6</xm:f>
          </x14:formula1>
          <xm:sqref>D4:D20</xm:sqref>
        </x14:dataValidation>
        <x14:dataValidation type="list" allowBlank="1" showInputMessage="1" showErrorMessage="1">
          <x14:formula1>
            <xm:f>Enum!$D$2:$D$4</xm:f>
          </x14:formula1>
          <xm:sqref>R4:T20</xm:sqref>
        </x14:dataValidation>
        <x14:dataValidation type="list" allowBlank="1" showInputMessage="1" showErrorMessage="1">
          <x14:formula1>
            <xm:f>Enum!$F$2:$F$4</xm:f>
          </x14:formula1>
          <xm:sqref>N4:N20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20"/>
  <sheetViews>
    <sheetView workbookViewId="0">
      <selection activeCell="F3" sqref="F3"/>
    </sheetView>
  </sheetViews>
  <sheetFormatPr defaultRowHeight="12.75" x14ac:dyDescent="0.35"/>
  <cols>
    <col min="1" max="1" width="18.59765625" customWidth="1"/>
    <col min="4" max="4" width="19.73046875" customWidth="1"/>
  </cols>
  <sheetData>
    <row r="1" spans="1:6" x14ac:dyDescent="0.35">
      <c r="A1" t="s">
        <v>4</v>
      </c>
      <c r="D1" t="s">
        <v>481</v>
      </c>
      <c r="F1" t="s">
        <v>624</v>
      </c>
    </row>
    <row r="2" spans="1:6" x14ac:dyDescent="0.35">
      <c r="A2" t="s">
        <v>482</v>
      </c>
      <c r="D2" s="27" t="s">
        <v>493</v>
      </c>
      <c r="F2">
        <v>0</v>
      </c>
    </row>
    <row r="3" spans="1:6" x14ac:dyDescent="0.35">
      <c r="A3" t="s">
        <v>483</v>
      </c>
      <c r="D3" t="s">
        <v>494</v>
      </c>
      <c r="F3">
        <v>1</v>
      </c>
    </row>
    <row r="4" spans="1:6" x14ac:dyDescent="0.35">
      <c r="A4" t="s">
        <v>15</v>
      </c>
      <c r="D4" s="31"/>
    </row>
    <row r="5" spans="1:6" x14ac:dyDescent="0.35">
      <c r="A5" t="s">
        <v>17</v>
      </c>
    </row>
    <row r="6" spans="1:6" x14ac:dyDescent="0.35">
      <c r="A6" t="s">
        <v>484</v>
      </c>
    </row>
    <row r="20" spans="3:3" x14ac:dyDescent="0.35">
      <c r="C20" t="s">
        <v>644</v>
      </c>
    </row>
  </sheetData>
  <conditionalFormatting sqref="D2">
    <cfRule type="cellIs" dxfId="138" priority="1" operator="equal">
      <formula>"TRUE"</formula>
    </cfRule>
  </conditionalFormatting>
  <dataValidations count="1">
    <dataValidation type="list" allowBlank="1" showInputMessage="1" showErrorMessage="1" sqref="D2">
      <formula1>$D$2:$D$3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fitToPage="1"/>
  </sheetPr>
  <dimension ref="A1:K50"/>
  <sheetViews>
    <sheetView zoomScale="85" zoomScaleNormal="85" workbookViewId="0">
      <pane ySplit="1" topLeftCell="A14" activePane="bottomLeft" state="frozen"/>
      <selection pane="bottomLeft" activeCell="A51" sqref="A51:XFD82"/>
    </sheetView>
  </sheetViews>
  <sheetFormatPr defaultColWidth="12.59765625" defaultRowHeight="15" customHeight="1" x14ac:dyDescent="0.35"/>
  <cols>
    <col min="1" max="1" width="24.3984375" customWidth="1"/>
    <col min="2" max="2" width="34" customWidth="1"/>
    <col min="3" max="3" width="31.1328125" customWidth="1"/>
    <col min="4" max="4" width="28.3984375" customWidth="1"/>
    <col min="5" max="5" width="17.86328125" customWidth="1"/>
    <col min="6" max="6" width="21.3984375" customWidth="1"/>
    <col min="7" max="7" width="17.86328125" customWidth="1"/>
    <col min="8" max="8" width="45.73046875" customWidth="1"/>
    <col min="9" max="9" width="28.3984375" bestFit="1" customWidth="1"/>
    <col min="10" max="10" width="42.265625" bestFit="1" customWidth="1"/>
    <col min="11" max="11" width="9" customWidth="1"/>
  </cols>
  <sheetData>
    <row r="1" spans="1:11" ht="15.75" customHeight="1" x14ac:dyDescent="0.3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</row>
    <row r="2" spans="1:11" ht="15.75" customHeight="1" x14ac:dyDescent="0.35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/>
      <c r="G2" s="1"/>
      <c r="H2" s="1" t="b">
        <v>0</v>
      </c>
      <c r="I2" s="1"/>
      <c r="J2" s="2"/>
      <c r="K2" s="17" t="b">
        <v>0</v>
      </c>
    </row>
    <row r="3" spans="1:11" ht="15.75" customHeight="1" x14ac:dyDescent="0.35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/>
      <c r="G3" s="1"/>
      <c r="H3" s="1" t="b">
        <v>0</v>
      </c>
      <c r="I3" s="1"/>
      <c r="J3" s="2"/>
      <c r="K3" s="17" t="b">
        <v>0</v>
      </c>
    </row>
    <row r="4" spans="1:11" ht="15.75" customHeight="1" x14ac:dyDescent="0.35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/>
      <c r="G4" s="1"/>
      <c r="H4" s="1" t="b">
        <v>0</v>
      </c>
      <c r="I4" s="1"/>
      <c r="J4" s="2"/>
      <c r="K4" s="17" t="b">
        <v>0</v>
      </c>
    </row>
    <row r="5" spans="1:11" ht="15.75" customHeight="1" x14ac:dyDescent="0.35">
      <c r="A5" s="1" t="s">
        <v>11</v>
      </c>
      <c r="B5" s="1" t="s">
        <v>12</v>
      </c>
      <c r="C5" s="1" t="s">
        <v>13</v>
      </c>
      <c r="D5" s="1" t="s">
        <v>14</v>
      </c>
      <c r="E5" s="1" t="s">
        <v>15</v>
      </c>
      <c r="F5" s="1"/>
      <c r="G5" s="1"/>
      <c r="H5" s="1" t="b">
        <v>0</v>
      </c>
      <c r="I5" s="1"/>
      <c r="J5" s="2"/>
      <c r="K5" s="17" t="b">
        <v>0</v>
      </c>
    </row>
    <row r="6" spans="1:11" ht="15.75" customHeight="1" x14ac:dyDescent="0.35"/>
    <row r="7" spans="1:11" ht="15.75" customHeight="1" x14ac:dyDescent="0.35"/>
    <row r="8" spans="1:11" ht="15.75" customHeight="1" x14ac:dyDescent="0.35"/>
    <row r="9" spans="1:11" ht="15.75" customHeight="1" x14ac:dyDescent="0.35"/>
    <row r="10" spans="1:11" ht="15.75" customHeight="1" x14ac:dyDescent="0.35"/>
    <row r="11" spans="1:11" ht="15.75" customHeight="1" x14ac:dyDescent="0.35"/>
    <row r="12" spans="1:11" ht="15.75" customHeight="1" x14ac:dyDescent="0.35"/>
    <row r="13" spans="1:11" ht="15.75" customHeight="1" x14ac:dyDescent="0.35"/>
    <row r="14" spans="1:11" ht="15.75" customHeight="1" x14ac:dyDescent="0.35"/>
    <row r="15" spans="1:11" ht="15.75" customHeight="1" x14ac:dyDescent="0.35"/>
    <row r="16" spans="1:11" ht="15.75" customHeight="1" x14ac:dyDescent="0.35"/>
    <row r="17" spans="1:8" ht="15.75" customHeight="1" x14ac:dyDescent="0.35"/>
    <row r="18" spans="1:8" ht="15.75" customHeight="1" x14ac:dyDescent="0.35">
      <c r="A18" s="20"/>
      <c r="B18" s="20" t="s">
        <v>403</v>
      </c>
      <c r="C18" t="s">
        <v>373</v>
      </c>
      <c r="F18" t="s">
        <v>415</v>
      </c>
      <c r="G18" t="s">
        <v>439</v>
      </c>
      <c r="H18" t="s">
        <v>385</v>
      </c>
    </row>
    <row r="19" spans="1:8" ht="15.75" customHeight="1" x14ac:dyDescent="0.35">
      <c r="A19" s="20"/>
      <c r="B19" s="20" t="s">
        <v>404</v>
      </c>
      <c r="C19" t="s">
        <v>374</v>
      </c>
      <c r="F19" t="s">
        <v>416</v>
      </c>
      <c r="G19" t="s">
        <v>440</v>
      </c>
      <c r="H19" t="s">
        <v>386</v>
      </c>
    </row>
    <row r="20" spans="1:8" ht="15.75" customHeight="1" x14ac:dyDescent="0.35">
      <c r="A20" s="20"/>
      <c r="B20" s="20" t="s">
        <v>409</v>
      </c>
      <c r="C20" t="s">
        <v>379</v>
      </c>
      <c r="F20" t="s">
        <v>398</v>
      </c>
      <c r="G20" t="s">
        <v>446</v>
      </c>
      <c r="H20" t="s">
        <v>392</v>
      </c>
    </row>
    <row r="21" spans="1:8" ht="15.75" customHeight="1" x14ac:dyDescent="0.35">
      <c r="A21" s="20"/>
      <c r="B21" s="20" t="s">
        <v>410</v>
      </c>
      <c r="C21" t="s">
        <v>380</v>
      </c>
      <c r="F21" t="s">
        <v>403</v>
      </c>
      <c r="G21" t="s">
        <v>427</v>
      </c>
      <c r="H21" t="s">
        <v>373</v>
      </c>
    </row>
    <row r="22" spans="1:8" ht="15.75" customHeight="1" x14ac:dyDescent="0.35">
      <c r="A22" s="20"/>
      <c r="B22" s="20" t="s">
        <v>405</v>
      </c>
      <c r="C22" t="s">
        <v>375</v>
      </c>
      <c r="F22" t="s">
        <v>404</v>
      </c>
      <c r="G22" t="s">
        <v>428</v>
      </c>
      <c r="H22" t="s">
        <v>374</v>
      </c>
    </row>
    <row r="23" spans="1:8" ht="15.75" customHeight="1" x14ac:dyDescent="0.35">
      <c r="A23" s="20"/>
      <c r="B23" s="20" t="s">
        <v>406</v>
      </c>
      <c r="C23" t="s">
        <v>376</v>
      </c>
      <c r="F23" t="s">
        <v>405</v>
      </c>
      <c r="G23" t="s">
        <v>429</v>
      </c>
      <c r="H23" t="s">
        <v>375</v>
      </c>
    </row>
    <row r="24" spans="1:8" ht="15.75" customHeight="1" x14ac:dyDescent="0.35">
      <c r="A24" s="20"/>
      <c r="B24" s="20" t="s">
        <v>411</v>
      </c>
      <c r="C24" t="s">
        <v>381</v>
      </c>
      <c r="F24" t="s">
        <v>402</v>
      </c>
      <c r="G24" t="s">
        <v>426</v>
      </c>
      <c r="H24" t="s">
        <v>372</v>
      </c>
    </row>
    <row r="25" spans="1:8" ht="15.75" customHeight="1" x14ac:dyDescent="0.35">
      <c r="A25" s="20"/>
      <c r="B25" s="20" t="s">
        <v>412</v>
      </c>
      <c r="C25" t="s">
        <v>382</v>
      </c>
      <c r="F25" t="s">
        <v>396</v>
      </c>
      <c r="G25" t="s">
        <v>444</v>
      </c>
      <c r="H25" t="s">
        <v>390</v>
      </c>
    </row>
    <row r="26" spans="1:8" ht="15.75" customHeight="1" x14ac:dyDescent="0.35">
      <c r="A26" s="20"/>
      <c r="B26" s="20" t="s">
        <v>413</v>
      </c>
      <c r="C26" t="s">
        <v>383</v>
      </c>
      <c r="F26" t="s">
        <v>418</v>
      </c>
      <c r="G26" t="s">
        <v>442</v>
      </c>
      <c r="H26" t="s">
        <v>388</v>
      </c>
    </row>
    <row r="27" spans="1:8" ht="15.75" customHeight="1" x14ac:dyDescent="0.35">
      <c r="A27" s="20"/>
      <c r="B27" s="20" t="s">
        <v>414</v>
      </c>
      <c r="C27" t="s">
        <v>384</v>
      </c>
      <c r="F27" t="s">
        <v>399</v>
      </c>
      <c r="G27" t="s">
        <v>447</v>
      </c>
      <c r="H27" t="s">
        <v>393</v>
      </c>
    </row>
    <row r="28" spans="1:8" ht="15.75" customHeight="1" x14ac:dyDescent="0.35">
      <c r="A28" s="20"/>
      <c r="B28" s="20" t="s">
        <v>415</v>
      </c>
      <c r="C28" t="s">
        <v>385</v>
      </c>
      <c r="F28" t="s">
        <v>401</v>
      </c>
      <c r="G28" t="s">
        <v>424</v>
      </c>
      <c r="H28" t="s">
        <v>370</v>
      </c>
    </row>
    <row r="29" spans="1:8" ht="15.75" customHeight="1" x14ac:dyDescent="0.35">
      <c r="A29" s="20"/>
      <c r="B29" s="20" t="s">
        <v>416</v>
      </c>
      <c r="C29" t="s">
        <v>386</v>
      </c>
      <c r="F29" t="s">
        <v>400</v>
      </c>
      <c r="G29" t="s">
        <v>423</v>
      </c>
      <c r="H29" t="s">
        <v>369</v>
      </c>
    </row>
    <row r="30" spans="1:8" ht="15.75" customHeight="1" x14ac:dyDescent="0.35">
      <c r="A30" s="20"/>
      <c r="B30" s="20" t="s">
        <v>402</v>
      </c>
      <c r="C30" t="s">
        <v>372</v>
      </c>
      <c r="F30" t="s">
        <v>394</v>
      </c>
      <c r="G30" t="s">
        <v>425</v>
      </c>
      <c r="H30" t="s">
        <v>371</v>
      </c>
    </row>
    <row r="31" spans="1:8" ht="15.75" customHeight="1" x14ac:dyDescent="0.35">
      <c r="A31" s="20"/>
      <c r="B31" s="20" t="s">
        <v>417</v>
      </c>
      <c r="C31" t="s">
        <v>387</v>
      </c>
      <c r="F31" t="s">
        <v>408</v>
      </c>
      <c r="G31" t="s">
        <v>432</v>
      </c>
      <c r="H31" t="s">
        <v>378</v>
      </c>
    </row>
    <row r="32" spans="1:8" ht="15.75" customHeight="1" x14ac:dyDescent="0.35">
      <c r="A32" s="20"/>
      <c r="B32" s="20" t="s">
        <v>394</v>
      </c>
      <c r="C32" t="s">
        <v>371</v>
      </c>
      <c r="F32" t="s">
        <v>397</v>
      </c>
      <c r="G32" t="s">
        <v>445</v>
      </c>
      <c r="H32" t="s">
        <v>391</v>
      </c>
    </row>
    <row r="33" spans="1:8" ht="15.75" customHeight="1" x14ac:dyDescent="0.35">
      <c r="A33" s="20"/>
      <c r="B33" s="20" t="s">
        <v>400</v>
      </c>
      <c r="C33" t="s">
        <v>369</v>
      </c>
      <c r="F33" t="s">
        <v>412</v>
      </c>
      <c r="G33" t="s">
        <v>436</v>
      </c>
      <c r="H33" t="s">
        <v>382</v>
      </c>
    </row>
    <row r="34" spans="1:8" ht="15.75" customHeight="1" x14ac:dyDescent="0.35">
      <c r="A34" s="20"/>
      <c r="B34" s="20" t="s">
        <v>401</v>
      </c>
      <c r="C34" t="s">
        <v>370</v>
      </c>
      <c r="F34" t="s">
        <v>395</v>
      </c>
      <c r="G34" t="s">
        <v>443</v>
      </c>
      <c r="H34" t="s">
        <v>389</v>
      </c>
    </row>
    <row r="35" spans="1:8" ht="15.75" customHeight="1" x14ac:dyDescent="0.35">
      <c r="A35" s="20"/>
      <c r="B35" s="20" t="s">
        <v>407</v>
      </c>
      <c r="C35" t="s">
        <v>377</v>
      </c>
      <c r="F35" t="s">
        <v>407</v>
      </c>
      <c r="G35" t="s">
        <v>431</v>
      </c>
      <c r="H35" t="s">
        <v>377</v>
      </c>
    </row>
    <row r="36" spans="1:8" ht="15.75" customHeight="1" x14ac:dyDescent="0.35">
      <c r="A36" s="20"/>
      <c r="B36" s="20" t="s">
        <v>408</v>
      </c>
      <c r="C36" t="s">
        <v>378</v>
      </c>
      <c r="F36" t="s">
        <v>406</v>
      </c>
      <c r="G36" t="s">
        <v>430</v>
      </c>
      <c r="H36" t="s">
        <v>376</v>
      </c>
    </row>
    <row r="37" spans="1:8" ht="15.75" customHeight="1" x14ac:dyDescent="0.35">
      <c r="A37" s="20"/>
      <c r="B37" s="20" t="s">
        <v>418</v>
      </c>
      <c r="C37" t="s">
        <v>388</v>
      </c>
      <c r="F37" t="s">
        <v>413</v>
      </c>
      <c r="G37" t="s">
        <v>437</v>
      </c>
      <c r="H37" t="s">
        <v>383</v>
      </c>
    </row>
    <row r="38" spans="1:8" ht="15.75" customHeight="1" x14ac:dyDescent="0.35">
      <c r="B38" t="s">
        <v>395</v>
      </c>
      <c r="C38" t="s">
        <v>389</v>
      </c>
      <c r="F38" t="s">
        <v>414</v>
      </c>
      <c r="G38" t="s">
        <v>438</v>
      </c>
      <c r="H38" t="s">
        <v>384</v>
      </c>
    </row>
    <row r="39" spans="1:8" ht="15.75" customHeight="1" x14ac:dyDescent="0.35">
      <c r="B39" t="s">
        <v>396</v>
      </c>
      <c r="C39" t="s">
        <v>390</v>
      </c>
      <c r="F39" t="s">
        <v>409</v>
      </c>
      <c r="G39" t="s">
        <v>433</v>
      </c>
      <c r="H39" t="s">
        <v>379</v>
      </c>
    </row>
    <row r="40" spans="1:8" ht="15.75" customHeight="1" x14ac:dyDescent="0.35">
      <c r="B40" t="s">
        <v>397</v>
      </c>
      <c r="C40" t="s">
        <v>391</v>
      </c>
      <c r="F40" t="s">
        <v>410</v>
      </c>
      <c r="G40" t="s">
        <v>434</v>
      </c>
      <c r="H40" t="s">
        <v>380</v>
      </c>
    </row>
    <row r="41" spans="1:8" ht="15.75" customHeight="1" x14ac:dyDescent="0.35">
      <c r="B41" t="s">
        <v>398</v>
      </c>
      <c r="C41" t="s">
        <v>392</v>
      </c>
      <c r="F41" t="s">
        <v>417</v>
      </c>
      <c r="G41" t="s">
        <v>441</v>
      </c>
      <c r="H41" t="s">
        <v>387</v>
      </c>
    </row>
    <row r="42" spans="1:8" ht="15.75" customHeight="1" x14ac:dyDescent="0.35">
      <c r="B42" t="s">
        <v>399</v>
      </c>
      <c r="C42" t="s">
        <v>393</v>
      </c>
      <c r="F42" t="s">
        <v>411</v>
      </c>
      <c r="G42" t="s">
        <v>435</v>
      </c>
      <c r="H42" t="s">
        <v>381</v>
      </c>
    </row>
    <row r="43" spans="1:8" ht="15.75" customHeight="1" x14ac:dyDescent="0.35"/>
    <row r="44" spans="1:8" ht="15.75" customHeight="1" x14ac:dyDescent="0.35"/>
    <row r="45" spans="1:8" ht="15.75" customHeight="1" x14ac:dyDescent="0.35"/>
    <row r="46" spans="1:8" ht="15.75" customHeight="1" x14ac:dyDescent="0.35"/>
    <row r="47" spans="1:8" ht="15.75" customHeight="1" x14ac:dyDescent="0.35"/>
    <row r="48" spans="1:8" ht="15.75" customHeight="1" x14ac:dyDescent="0.35"/>
    <row r="49" spans="1:5" ht="15.75" customHeight="1" x14ac:dyDescent="0.35">
      <c r="A49" s="20"/>
      <c r="B49" s="20"/>
      <c r="C49" s="20"/>
      <c r="D49" s="20"/>
      <c r="E49" s="20"/>
    </row>
    <row r="50" spans="1:5" ht="15.75" customHeight="1" x14ac:dyDescent="0.35">
      <c r="A50" s="20"/>
      <c r="B50" s="20"/>
      <c r="C50" s="20"/>
      <c r="D50" s="20"/>
      <c r="E50" s="20"/>
    </row>
  </sheetData>
  <sortState ref="F18:H42">
    <sortCondition ref="H18"/>
  </sortState>
  <conditionalFormatting sqref="G2:H50">
    <cfRule type="cellIs" dxfId="137" priority="19" operator="equal">
      <formula>"TRUE"</formula>
    </cfRule>
  </conditionalFormatting>
  <conditionalFormatting sqref="D1:D50">
    <cfRule type="cellIs" dxfId="136" priority="20" operator="equal">
      <formula>"Панели инструментов"</formula>
    </cfRule>
  </conditionalFormatting>
  <conditionalFormatting sqref="D1:D50">
    <cfRule type="cellIs" dxfId="135" priority="21" operator="equal">
      <formula>"Оформление"</formula>
    </cfRule>
  </conditionalFormatting>
  <conditionalFormatting sqref="D1:D50">
    <cfRule type="cellIs" dxfId="134" priority="22" operator="equal">
      <formula>"Преобразование"</formula>
    </cfRule>
  </conditionalFormatting>
  <conditionalFormatting sqref="D1:D50">
    <cfRule type="cellIs" dxfId="133" priority="23" operator="equal">
      <formula>"Работа с полилинией"</formula>
    </cfRule>
  </conditionalFormatting>
  <conditionalFormatting sqref="D1:D50">
    <cfRule type="cellIs" dxfId="132" priority="24" operator="equal">
      <formula>"Геодезия и маркшейдерия"</formula>
    </cfRule>
  </conditionalFormatting>
  <conditionalFormatting sqref="D1:D50">
    <cfRule type="cellIs" dxfId="131" priority="25" operator="equal">
      <formula>"Инфо"</formula>
    </cfRule>
  </conditionalFormatting>
  <conditionalFormatting sqref="D1:D50">
    <cfRule type="cellIs" dxfId="130" priority="26" operator="equal">
      <formula>"Скрытые команды"</formula>
    </cfRule>
  </conditionalFormatting>
  <conditionalFormatting sqref="D1:D50">
    <cfRule type="cellIs" dxfId="129" priority="27" operator="equal">
      <formula>"Точки и блоки"</formula>
    </cfRule>
  </conditionalFormatting>
  <conditionalFormatting sqref="D1:D50">
    <cfRule type="cellIs" dxfId="128" priority="28" operator="equal">
      <formula>"Текст и атрибуты"</formula>
    </cfRule>
  </conditionalFormatting>
  <conditionalFormatting sqref="D1:D50">
    <cfRule type="cellIs" dxfId="127" priority="30" operator="equal">
      <formula>"Выбор и очистка"</formula>
    </cfRule>
  </conditionalFormatting>
  <conditionalFormatting sqref="D1:D50">
    <cfRule type="cellIs" dxfId="126" priority="31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8213" r:id="rId4" name="CheckBox1">
          <controlPr autoLine="0" r:id="rId5">
            <anchor moveWithCells="1">
              <from>
                <xdr:col>6</xdr:col>
                <xdr:colOff>123825</xdr:colOff>
                <xdr:row>0</xdr:row>
                <xdr:rowOff>152400</xdr:rowOff>
              </from>
              <to>
                <xdr:col>6</xdr:col>
                <xdr:colOff>1057275</xdr:colOff>
                <xdr:row>2</xdr:row>
                <xdr:rowOff>47625</xdr:rowOff>
              </to>
            </anchor>
          </controlPr>
        </control>
      </mc:Choice>
      <mc:Fallback>
        <control shapeId="8213" r:id="rId4" name="CheckBox1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I22"/>
  <sheetViews>
    <sheetView workbookViewId="0">
      <selection activeCell="C14" sqref="C14"/>
    </sheetView>
  </sheetViews>
  <sheetFormatPr defaultColWidth="9.1328125" defaultRowHeight="12.75" x14ac:dyDescent="0.35"/>
  <cols>
    <col min="1" max="1" width="17.265625" customWidth="1"/>
    <col min="3" max="3" width="12.265625" customWidth="1"/>
    <col min="5" max="5" width="64.86328125" bestFit="1" customWidth="1"/>
    <col min="7" max="7" width="15.73046875" customWidth="1"/>
    <col min="9" max="9" width="76" bestFit="1" customWidth="1"/>
  </cols>
  <sheetData>
    <row r="1" spans="1:9" x14ac:dyDescent="0.35">
      <c r="A1" s="31" t="s">
        <v>588</v>
      </c>
      <c r="B1" t="s">
        <v>586</v>
      </c>
      <c r="C1" s="31" t="s">
        <v>620</v>
      </c>
      <c r="D1" t="s">
        <v>589</v>
      </c>
      <c r="E1" t="s">
        <v>2</v>
      </c>
      <c r="F1" t="s">
        <v>590</v>
      </c>
      <c r="G1" s="31" t="s">
        <v>8</v>
      </c>
      <c r="H1" t="s">
        <v>591</v>
      </c>
      <c r="I1" s="31" t="s">
        <v>622</v>
      </c>
    </row>
    <row r="2" spans="1:9" x14ac:dyDescent="0.35">
      <c r="A2" s="65" t="s">
        <v>587</v>
      </c>
      <c r="B2" t="s">
        <v>586</v>
      </c>
      <c r="C2" s="65" t="s">
        <v>587</v>
      </c>
      <c r="D2" t="s">
        <v>586</v>
      </c>
      <c r="E2" s="65" t="s">
        <v>587</v>
      </c>
      <c r="F2" t="s">
        <v>586</v>
      </c>
      <c r="G2" s="65" t="s">
        <v>587</v>
      </c>
      <c r="H2" t="s">
        <v>586</v>
      </c>
      <c r="I2" s="31" t="str">
        <f>"|"&amp;A2&amp;B2&amp;C2&amp;D2&amp;E2&amp;F2&amp;G2&amp;H2</f>
        <v>|---|---|---|---|</v>
      </c>
    </row>
    <row r="3" spans="1:9" ht="13.15" x14ac:dyDescent="0.35">
      <c r="A3" s="66" t="s">
        <v>524</v>
      </c>
      <c r="B3" t="s">
        <v>586</v>
      </c>
      <c r="C3" t="s">
        <v>478</v>
      </c>
      <c r="D3" t="s">
        <v>586</v>
      </c>
      <c r="E3" t="str">
        <f>ТЕКСТКОММЕНТА(A3)</f>
        <v>Имя команды, как оно будет показываться в меню</v>
      </c>
      <c r="F3" t="s">
        <v>586</v>
      </c>
      <c r="H3" t="s">
        <v>586</v>
      </c>
      <c r="I3" s="31" t="str">
        <f t="shared" ref="I3:I7" si="0">"|"&amp;A3&amp;B3&amp;C3&amp;D3&amp;E3&amp;F3&amp;G3&amp;H3</f>
        <v>|DispName|Тип линий по блоку|Имя команды, как оно будет показываться в меню||</v>
      </c>
    </row>
    <row r="4" spans="1:9" ht="13.15" x14ac:dyDescent="0.35">
      <c r="A4" s="66" t="s">
        <v>525</v>
      </c>
      <c r="B4" t="s">
        <v>586</v>
      </c>
      <c r="C4" t="s">
        <v>413</v>
      </c>
      <c r="D4" t="s">
        <v>586</v>
      </c>
      <c r="E4" t="str">
        <f t="shared" ref="E4:E5" si="1">ТЕКСТКОММЕНТА(A4)</f>
        <v>Внутреннее имя команды, как оно определено в dll / nrx / lsp</v>
      </c>
      <c r="F4" t="s">
        <v>586</v>
      </c>
      <c r="H4" t="s">
        <v>586</v>
      </c>
      <c r="I4" s="31" t="str">
        <f t="shared" si="0"/>
        <v>|InterName|-drz-block-Linetype-ByBlock|Внутреннее имя команды, как оно определено в dll / nrx / lsp||</v>
      </c>
    </row>
    <row r="5" spans="1:9" ht="13.15" x14ac:dyDescent="0.35">
      <c r="A5" s="66" t="s">
        <v>526</v>
      </c>
      <c r="B5" t="s">
        <v>586</v>
      </c>
      <c r="C5" t="s">
        <v>384</v>
      </c>
      <c r="D5" t="s">
        <v>586</v>
      </c>
      <c r="E5" t="str">
        <f t="shared" si="1"/>
        <v>Описание команды, показываемое в качестве всплывающей подсказки</v>
      </c>
      <c r="F5" t="s">
        <v>586</v>
      </c>
      <c r="H5" t="s">
        <v>586</v>
      </c>
      <c r="I5" s="31" t="str">
        <f t="shared" si="0"/>
        <v>|StatusText|Тип линий примитивов по слою|Описание команды, показываемое в качестве всплывающей подсказки||</v>
      </c>
    </row>
    <row r="6" spans="1:9" ht="13.15" x14ac:dyDescent="0.35">
      <c r="A6" s="66" t="s">
        <v>527</v>
      </c>
      <c r="B6" t="s">
        <v>586</v>
      </c>
      <c r="C6" t="s">
        <v>449</v>
      </c>
      <c r="D6" t="s">
        <v>586</v>
      </c>
      <c r="E6" t="str">
        <f>ТЕКСТКОММЕНТА(A6)</f>
        <v>Имя панели/подменю</v>
      </c>
      <c r="F6" t="s">
        <v>586</v>
      </c>
      <c r="H6" t="s">
        <v>586</v>
      </c>
      <c r="I6" s="31" t="str">
        <f t="shared" si="0"/>
        <v>|PanelName|Свойства примитивов|Имя панели/подменю||</v>
      </c>
    </row>
    <row r="7" spans="1:9" ht="13.15" x14ac:dyDescent="0.35">
      <c r="A7" s="66" t="s">
        <v>528</v>
      </c>
      <c r="B7" t="s">
        <v>586</v>
      </c>
      <c r="C7" s="31" t="s">
        <v>15</v>
      </c>
      <c r="D7" t="s">
        <v>586</v>
      </c>
      <c r="E7" t="str">
        <f>ТЕКСТКОММЕНТА(A7)</f>
        <v xml:space="preserve">
Размер кнопки на ленте. None - кнопки не будет</v>
      </c>
      <c r="F7" t="s">
        <v>586</v>
      </c>
      <c r="H7" t="s">
        <v>586</v>
      </c>
      <c r="I7" s="31" t="str">
        <f t="shared" si="0"/>
        <v>|RibbonSize|LargeWithText|
Размер кнопки на ленте. None - кнопки не будет||</v>
      </c>
    </row>
    <row r="8" spans="1:9" x14ac:dyDescent="0.35"/>
    <row r="13" spans="1:9" x14ac:dyDescent="0.35">
      <c r="C13" t="str">
        <f>ТЕКСТВКОМЕНТ(A3,E13)</f>
        <v>Имя команды, как оно будет показываться в меню</v>
      </c>
      <c r="E13" t="str">
        <f>E3</f>
        <v>Имя команды, как оно будет показываться в меню</v>
      </c>
    </row>
    <row r="14" spans="1:9" x14ac:dyDescent="0.35">
      <c r="C14" t="str">
        <f t="shared" ref="C14:C18" si="2">ТЕКСТВКОМЕНТ(A4,E14)</f>
        <v>Внутреннее имя команды, как оно определено в dll / nrx / lsp</v>
      </c>
      <c r="E14" t="str">
        <f t="shared" ref="E14:E22" si="3">E4</f>
        <v>Внутреннее имя команды, как оно определено в dll / nrx / lsp</v>
      </c>
    </row>
    <row r="15" spans="1:9" x14ac:dyDescent="0.35">
      <c r="C15" t="str">
        <f t="shared" si="2"/>
        <v>Описание команды, показываемое в качестве всплывающей подсказки</v>
      </c>
      <c r="E15" t="str">
        <f t="shared" si="3"/>
        <v>Описание команды, показываемое в качестве всплывающей подсказки</v>
      </c>
    </row>
    <row r="16" spans="1:9" x14ac:dyDescent="0.35">
      <c r="C16" t="str">
        <f t="shared" si="2"/>
        <v>Имя панели/подменю</v>
      </c>
      <c r="E16" t="str">
        <f t="shared" si="3"/>
        <v>Имя панели/подменю</v>
      </c>
    </row>
    <row r="17" spans="3:5" x14ac:dyDescent="0.35">
      <c r="C17" t="str">
        <f t="shared" si="2"/>
        <v xml:space="preserve">
Размер кнопки на ленте. None - кнопки не будет</v>
      </c>
      <c r="E17" t="str">
        <f t="shared" si="3"/>
        <v xml:space="preserve">
Размер кнопки на ленте. None - кнопки не будет</v>
      </c>
    </row>
    <row r="18" spans="3:5" x14ac:dyDescent="0.35">
      <c r="C18" t="str">
        <f t="shared" si="2"/>
        <v>test</v>
      </c>
      <c r="E18" s="31" t="s">
        <v>600</v>
      </c>
    </row>
    <row r="19" spans="3:5" x14ac:dyDescent="0.35">
      <c r="E19">
        <f t="shared" si="3"/>
        <v>0</v>
      </c>
    </row>
    <row r="20" spans="3:5" x14ac:dyDescent="0.35">
      <c r="E20">
        <f t="shared" si="3"/>
        <v>0</v>
      </c>
    </row>
    <row r="21" spans="3:5" x14ac:dyDescent="0.35">
      <c r="E21">
        <f t="shared" si="3"/>
        <v>0</v>
      </c>
    </row>
    <row r="22" spans="3:5" x14ac:dyDescent="0.35">
      <c r="E22">
        <f t="shared" si="3"/>
        <v>0</v>
      </c>
    </row>
  </sheetData>
  <conditionalFormatting sqref="G3:G7 I1:I7">
    <cfRule type="cellIs" dxfId="110" priority="2" operator="equal">
      <formula>"TRUE"</formula>
    </cfRule>
  </conditionalFormatting>
  <conditionalFormatting sqref="C1 C3:C7">
    <cfRule type="cellIs" dxfId="109" priority="3" operator="equal">
      <formula>"Панели инструментов"</formula>
    </cfRule>
  </conditionalFormatting>
  <conditionalFormatting sqref="C1 C3:C7">
    <cfRule type="cellIs" dxfId="108" priority="4" operator="equal">
      <formula>"Оформление"</formula>
    </cfRule>
  </conditionalFormatting>
  <conditionalFormatting sqref="C1 C3:C7">
    <cfRule type="cellIs" dxfId="107" priority="5" operator="equal">
      <formula>"Преобразование"</formula>
    </cfRule>
  </conditionalFormatting>
  <conditionalFormatting sqref="C1 C3:C7">
    <cfRule type="cellIs" dxfId="106" priority="6" operator="equal">
      <formula>"Работа с полилинией"</formula>
    </cfRule>
  </conditionalFormatting>
  <conditionalFormatting sqref="C1 C3:C7">
    <cfRule type="cellIs" dxfId="105" priority="7" operator="equal">
      <formula>"Геодезия и маркшейдерия"</formula>
    </cfRule>
  </conditionalFormatting>
  <conditionalFormatting sqref="C1 C3:C7">
    <cfRule type="cellIs" dxfId="104" priority="8" operator="equal">
      <formula>"Инфо"</formula>
    </cfRule>
  </conditionalFormatting>
  <conditionalFormatting sqref="C1 C3:C7">
    <cfRule type="cellIs" dxfId="103" priority="9" operator="equal">
      <formula>"Скрытые команды"</formula>
    </cfRule>
  </conditionalFormatting>
  <conditionalFormatting sqref="C1 C3:C7">
    <cfRule type="cellIs" dxfId="102" priority="10" operator="equal">
      <formula>"Точки и блоки"</formula>
    </cfRule>
  </conditionalFormatting>
  <conditionalFormatting sqref="C1 C3:C7">
    <cfRule type="cellIs" dxfId="101" priority="11" operator="equal">
      <formula>"Текст и атрибуты"</formula>
    </cfRule>
  </conditionalFormatting>
  <conditionalFormatting sqref="C1 C3:C7">
    <cfRule type="cellIs" dxfId="100" priority="12" operator="equal">
      <formula>"Выбор и очистка"</formula>
    </cfRule>
  </conditionalFormatting>
  <conditionalFormatting sqref="C1 C3:C7">
    <cfRule type="cellIs" dxfId="99" priority="13" operator="equal">
      <formula>"Растры"</formula>
    </cfRule>
  </conditionalFormatting>
  <conditionalFormatting sqref="E3:E7">
    <cfRule type="expression" dxfId="98" priority="1">
      <formula>1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I46"/>
  <sheetViews>
    <sheetView zoomScale="85" zoomScaleNormal="85" workbookViewId="0">
      <selection activeCell="G28" sqref="G28:G43"/>
    </sheetView>
  </sheetViews>
  <sheetFormatPr defaultRowHeight="12.75" x14ac:dyDescent="0.35"/>
  <cols>
    <col min="1" max="1" width="33.1328125" customWidth="1"/>
    <col min="3" max="3" width="12.265625" customWidth="1"/>
    <col min="5" max="5" width="45.1328125" customWidth="1"/>
    <col min="7" max="7" width="33" customWidth="1"/>
    <col min="9" max="9" width="47.3984375" bestFit="1" customWidth="1"/>
  </cols>
  <sheetData>
    <row r="1" spans="1:9" x14ac:dyDescent="0.35">
      <c r="A1" s="62" t="s">
        <v>588</v>
      </c>
      <c r="B1" s="20" t="s">
        <v>586</v>
      </c>
      <c r="C1" s="62" t="s">
        <v>620</v>
      </c>
      <c r="D1" s="20" t="s">
        <v>589</v>
      </c>
      <c r="E1" s="20" t="s">
        <v>2</v>
      </c>
      <c r="F1" s="20" t="s">
        <v>590</v>
      </c>
      <c r="G1" s="31" t="s">
        <v>8</v>
      </c>
      <c r="H1" s="20" t="s">
        <v>591</v>
      </c>
      <c r="I1" s="31" t="s">
        <v>621</v>
      </c>
    </row>
    <row r="2" spans="1:9" x14ac:dyDescent="0.35">
      <c r="A2" s="61" t="s">
        <v>587</v>
      </c>
      <c r="B2" s="20" t="s">
        <v>586</v>
      </c>
      <c r="C2" s="61" t="s">
        <v>587</v>
      </c>
      <c r="D2" s="20" t="s">
        <v>586</v>
      </c>
      <c r="E2" s="61" t="s">
        <v>587</v>
      </c>
      <c r="F2" s="20" t="s">
        <v>586</v>
      </c>
      <c r="G2" s="61" t="s">
        <v>587</v>
      </c>
      <c r="H2" s="20" t="s">
        <v>586</v>
      </c>
      <c r="I2" s="62" t="str">
        <f t="shared" ref="I2" si="0">A2&amp;A2&amp;B2&amp;C2&amp;D2&amp;E2&amp;F2&amp;G2&amp;H2</f>
        <v>------|---|---|---|</v>
      </c>
    </row>
    <row r="3" spans="1:9" ht="15" x14ac:dyDescent="0.35">
      <c r="A3" s="63" t="s">
        <v>485</v>
      </c>
      <c r="B3" s="20" t="s">
        <v>586</v>
      </c>
      <c r="C3" t="s">
        <v>601</v>
      </c>
      <c r="D3" s="20" t="s">
        <v>586</v>
      </c>
      <c r="E3" t="str">
        <f t="shared" ref="E3:E18" si="1">ТЕКСТКОММЕНТА(A3)</f>
        <v>Название сплитера ленты, если пусто иконки не будут прятаться под сплитер</v>
      </c>
      <c r="F3" s="20" t="s">
        <v>586</v>
      </c>
      <c r="H3" s="20" t="s">
        <v>586</v>
      </c>
      <c r="I3" s="31" t="str">
        <f>A3&amp;B3&amp;C3&amp;D3&amp;E3&amp;F3&amp;G3&amp;H3</f>
        <v>RibbonSplitButtonName|Панель|Название сплитера ленты, если пусто иконки не будут прятаться под сплитер||</v>
      </c>
    </row>
    <row r="4" spans="1:9" ht="15" x14ac:dyDescent="0.35">
      <c r="A4" s="63" t="s">
        <v>532</v>
      </c>
      <c r="B4" s="20" t="s">
        <v>586</v>
      </c>
      <c r="C4" t="s">
        <v>605</v>
      </c>
      <c r="D4" s="20" t="s">
        <v>586</v>
      </c>
      <c r="E4" t="str">
        <f t="shared" si="1"/>
        <v>Не регистрировать команду, эта строка будет пропущена если значение ИСКЛЮЧИТЬ</v>
      </c>
      <c r="F4" s="20" t="s">
        <v>586</v>
      </c>
      <c r="H4" s="20" t="s">
        <v>586</v>
      </c>
      <c r="I4" s="31" t="str">
        <f t="shared" ref="I4:I18" si="2">A4&amp;B4&amp;C4&amp;D4&amp;E4&amp;F4&amp;G4&amp;H4</f>
        <v>DontTake|ИСКЛЮЧИТЬ ДОБАВИТЬ|Не регистрировать команду, эта строка будет пропущена если значение ИСКЛЮЧИТЬ||</v>
      </c>
    </row>
    <row r="5" spans="1:9" ht="15" x14ac:dyDescent="0.35">
      <c r="A5" s="63" t="s">
        <v>572</v>
      </c>
      <c r="B5" s="20" t="s">
        <v>586</v>
      </c>
      <c r="C5" t="s">
        <v>605</v>
      </c>
      <c r="D5" s="20" t="s">
        <v>586</v>
      </c>
      <c r="E5" t="str">
        <f t="shared" si="1"/>
        <v>Команду зарегистрировать, но не показывать в интерфейсе, если ИСКЛЮЧИТЬ</v>
      </c>
      <c r="F5" s="20" t="s">
        <v>586</v>
      </c>
      <c r="H5" s="20" t="s">
        <v>586</v>
      </c>
      <c r="I5" s="31" t="str">
        <f t="shared" si="2"/>
        <v>HideCommand|ИСКЛЮЧИТЬ ДОБАВИТЬ|Команду зарегистрировать, но не показывать в интерфейсе, если ИСКЛЮЧИТЬ||</v>
      </c>
    </row>
    <row r="6" spans="1:9" ht="15" x14ac:dyDescent="0.35">
      <c r="A6" s="63" t="s">
        <v>486</v>
      </c>
      <c r="B6" s="20" t="s">
        <v>586</v>
      </c>
      <c r="C6" t="s">
        <v>607</v>
      </c>
      <c r="D6" s="20" t="s">
        <v>586</v>
      </c>
      <c r="E6" t="str">
        <f t="shared" si="1"/>
        <v>Имя ресурсной dll. Обязательно, если установлен IconName, либо название иконки</v>
      </c>
      <c r="F6" s="20" t="s">
        <v>586</v>
      </c>
      <c r="H6" s="20" t="s">
        <v>586</v>
      </c>
      <c r="I6" s="31" t="str">
        <f t="shared" si="2"/>
        <v>ResourceDllName|newbtns.dll constr-50.ico test.bmp|Имя ресурсной dll. Обязательно, если установлен IconName, либо название иконки||</v>
      </c>
    </row>
    <row r="7" spans="1:9" ht="15" x14ac:dyDescent="0.35">
      <c r="A7" s="63" t="s">
        <v>487</v>
      </c>
      <c r="B7" s="20" t="s">
        <v>586</v>
      </c>
      <c r="C7" t="s">
        <v>456</v>
      </c>
      <c r="D7" s="20" t="s">
        <v>586</v>
      </c>
      <c r="E7" t="str">
        <f t="shared" si="1"/>
        <v>Название иконки, из ресурсной dll, только если в ResourceDllName имя библиотеки, иначе ничего</v>
      </c>
      <c r="F7" s="20" t="s">
        <v>586</v>
      </c>
      <c r="H7" s="20" t="s">
        <v>586</v>
      </c>
      <c r="I7" s="31" t="str">
        <f t="shared" si="2"/>
        <v>IconName|BEDIT|Название иконки, из ресурсной dll, только если в ResourceDllName имя библиотеки, иначе ничего||</v>
      </c>
    </row>
    <row r="8" spans="1:9" ht="15" x14ac:dyDescent="0.35">
      <c r="A8" s="63" t="s">
        <v>544</v>
      </c>
      <c r="B8" s="20" t="s">
        <v>586</v>
      </c>
      <c r="C8" t="s">
        <v>454</v>
      </c>
      <c r="D8" s="20" t="s">
        <v>586</v>
      </c>
      <c r="E8" t="str">
        <f t="shared" si="1"/>
        <v>Приложение, может быть пустым, иначе верхний уровень меню</v>
      </c>
      <c r="F8" s="20" t="s">
        <v>586</v>
      </c>
      <c r="H8" s="20" t="s">
        <v>586</v>
      </c>
      <c r="I8" s="31" t="str">
        <f t="shared" si="2"/>
        <v>AppName|drzTools|Приложение, может быть пустым, иначе верхний уровень меню||</v>
      </c>
    </row>
    <row r="9" spans="1:9" ht="15" x14ac:dyDescent="0.35">
      <c r="A9" s="63" t="s">
        <v>569</v>
      </c>
      <c r="B9" s="20" t="s">
        <v>586</v>
      </c>
      <c r="C9" t="s">
        <v>579</v>
      </c>
      <c r="D9" s="20" t="s">
        <v>586</v>
      </c>
      <c r="E9" t="str">
        <f t="shared" si="1"/>
        <v>Аддон, может быть пустым, иначе подменю под главным меню</v>
      </c>
      <c r="F9" s="20" t="s">
        <v>586</v>
      </c>
      <c r="H9" s="20" t="s">
        <v>586</v>
      </c>
      <c r="I9" s="31" t="str">
        <f t="shared" si="2"/>
        <v>AddonName|blockFix|Аддон, может быть пустым, иначе подменю под главным меню||</v>
      </c>
    </row>
    <row r="10" spans="1:9" ht="15" x14ac:dyDescent="0.35">
      <c r="A10" s="63" t="s">
        <v>529</v>
      </c>
      <c r="B10" s="20" t="s">
        <v>586</v>
      </c>
      <c r="C10" t="s">
        <v>608</v>
      </c>
      <c r="D10" s="20" t="s">
        <v>586</v>
      </c>
      <c r="E10" t="str">
        <f t="shared" si="1"/>
        <v>Локализованное имя команды</v>
      </c>
      <c r="F10" s="20" t="s">
        <v>586</v>
      </c>
      <c r="H10" s="20" t="s">
        <v>586</v>
      </c>
      <c r="I10" s="31" t="str">
        <f t="shared" si="2"/>
        <v>LocalName|блок_почистить|Локализованное имя команды||</v>
      </c>
    </row>
    <row r="11" spans="1:9" ht="15" x14ac:dyDescent="0.35">
      <c r="A11" s="63" t="s">
        <v>474</v>
      </c>
      <c r="B11" s="20" t="s">
        <v>586</v>
      </c>
      <c r="C11" t="s">
        <v>491</v>
      </c>
      <c r="D11" s="20" t="s">
        <v>586</v>
      </c>
      <c r="E11" t="str">
        <f t="shared" si="1"/>
        <v>Реальное имя команды</v>
      </c>
      <c r="F11" s="20" t="s">
        <v>586</v>
      </c>
      <c r="H11" s="20" t="s">
        <v>586</v>
      </c>
      <c r="I11" s="31" t="str">
        <f t="shared" si="2"/>
        <v>RealCommandName|shell_exec|Реальное имя команды||</v>
      </c>
    </row>
    <row r="12" spans="1:9" ht="15" x14ac:dyDescent="0.35">
      <c r="A12" s="63" t="s">
        <v>475</v>
      </c>
      <c r="B12" s="20" t="s">
        <v>586</v>
      </c>
      <c r="C12" t="s">
        <v>490</v>
      </c>
      <c r="D12" s="20" t="s">
        <v>586</v>
      </c>
      <c r="E12" t="str">
        <f t="shared" si="1"/>
        <v>Ключевое слово</v>
      </c>
      <c r="F12" s="20" t="s">
        <v>586</v>
      </c>
      <c r="H12" s="20" t="s">
        <v>586</v>
      </c>
      <c r="I12" s="31" t="str">
        <f t="shared" si="2"/>
        <v>Keyword|open,https://doctorraz.blogspot.com/2022/10/PlotSPDS.NET.html|Ключевое слово||</v>
      </c>
    </row>
    <row r="13" spans="1:9" ht="15" x14ac:dyDescent="0.35">
      <c r="A13" s="63" t="s">
        <v>476</v>
      </c>
      <c r="B13" s="20" t="s">
        <v>586</v>
      </c>
      <c r="C13" t="s">
        <v>616</v>
      </c>
      <c r="D13" s="20" t="s">
        <v>586</v>
      </c>
      <c r="E13" t="str">
        <f t="shared" si="1"/>
        <v>Вес команды, по умолчанию 10</v>
      </c>
      <c r="F13" s="20" t="s">
        <v>586</v>
      </c>
      <c r="H13" s="20" t="s">
        <v>586</v>
      </c>
      <c r="I13" s="31" t="str">
        <f t="shared" si="2"/>
        <v>weight|число|Вес команды, по умолчанию 10||</v>
      </c>
    </row>
    <row r="14" spans="1:9" ht="15" x14ac:dyDescent="0.35">
      <c r="A14" s="63" t="s">
        <v>477</v>
      </c>
      <c r="B14" s="20" t="s">
        <v>586</v>
      </c>
      <c r="C14" t="s">
        <v>617</v>
      </c>
      <c r="D14" s="20" t="s">
        <v>586</v>
      </c>
      <c r="E14" t="str">
        <f t="shared" si="1"/>
        <v>Контекст выполнения команды, по умолчанию 1-контекст документа, если 0-контекст приложения</v>
      </c>
      <c r="F14" s="20" t="s">
        <v>586</v>
      </c>
      <c r="H14" s="20" t="s">
        <v>586</v>
      </c>
      <c r="I14" s="31" t="str">
        <f t="shared" si="2"/>
        <v>cmdtype|число 0 или 1|Контекст выполнения команды, по умолчанию 1-контекст документа, если 0-контекст приложения||</v>
      </c>
    </row>
    <row r="15" spans="1:9" ht="15" x14ac:dyDescent="0.35">
      <c r="A15" s="63" t="s">
        <v>489</v>
      </c>
      <c r="B15" s="20" t="s">
        <v>586</v>
      </c>
      <c r="C15" t="s">
        <v>618</v>
      </c>
      <c r="D15" s="20" t="s">
        <v>586</v>
      </c>
      <c r="E15" t="str">
        <f t="shared" si="1"/>
        <v>Всплывающая подсказка</v>
      </c>
      <c r="F15" s="20" t="s">
        <v>586</v>
      </c>
      <c r="H15" s="20" t="s">
        <v>586</v>
      </c>
      <c r="I15" s="31" t="str">
        <f t="shared" si="2"/>
        <v>ToolTipText|текст|Всплывающая подсказка||</v>
      </c>
    </row>
    <row r="16" spans="1:9" ht="15" x14ac:dyDescent="0.35">
      <c r="A16" s="63" t="s">
        <v>530</v>
      </c>
      <c r="B16" s="20" t="s">
        <v>586</v>
      </c>
      <c r="C16" t="s">
        <v>543</v>
      </c>
      <c r="D16" s="20" t="s">
        <v>586</v>
      </c>
      <c r="E16" t="str">
        <f t="shared" si="1"/>
        <v>Горячие клавиши</v>
      </c>
      <c r="F16" s="20" t="s">
        <v>586</v>
      </c>
      <c r="H16" s="20" t="s">
        <v>586</v>
      </c>
      <c r="I16" s="31" t="str">
        <f t="shared" si="2"/>
        <v>Accelerators|Alt+Q|Горячие клавиши||</v>
      </c>
    </row>
    <row r="17" spans="1:9" ht="15" x14ac:dyDescent="0.35">
      <c r="A17" s="63" t="s">
        <v>585</v>
      </c>
      <c r="B17" s="20" t="s">
        <v>586</v>
      </c>
      <c r="C17" t="s">
        <v>619</v>
      </c>
      <c r="D17" s="20" t="s">
        <v>586</v>
      </c>
      <c r="E17" t="str">
        <f t="shared" si="1"/>
        <v>Виртуальная панель.  Не используется</v>
      </c>
      <c r="F17" s="20" t="s">
        <v>586</v>
      </c>
      <c r="H17" s="20" t="s">
        <v>586</v>
      </c>
      <c r="I17" s="31" t="str">
        <f t="shared" si="2"/>
        <v>VirtualPanel|-|Виртуальная панель.  Не используется||</v>
      </c>
    </row>
    <row r="18" spans="1:9" ht="15" x14ac:dyDescent="0.35">
      <c r="A18" s="63" t="s">
        <v>578</v>
      </c>
      <c r="B18" s="20" t="s">
        <v>586</v>
      </c>
      <c r="C18" t="s">
        <v>619</v>
      </c>
      <c r="D18" s="20" t="s">
        <v>586</v>
      </c>
      <c r="E18" t="str">
        <f t="shared" si="1"/>
        <v>Разделитель. Не используется</v>
      </c>
      <c r="F18" s="20" t="s">
        <v>586</v>
      </c>
      <c r="H18" s="20" t="s">
        <v>586</v>
      </c>
      <c r="I18" s="31" t="str">
        <f t="shared" si="2"/>
        <v>Separator|-|Разделитель. Не используется||</v>
      </c>
    </row>
    <row r="26" spans="1:9" x14ac:dyDescent="0.35">
      <c r="E26" t="s">
        <v>594</v>
      </c>
      <c r="G26" t="s">
        <v>593</v>
      </c>
    </row>
    <row r="27" spans="1:9" x14ac:dyDescent="0.35">
      <c r="A27" t="s">
        <v>592</v>
      </c>
      <c r="E27" t="str">
        <f>ТЕКСТВКОМЕНТ(A27,G27)</f>
        <v>---</v>
      </c>
      <c r="G27" s="20" t="str">
        <f>E2</f>
        <v>---</v>
      </c>
    </row>
    <row r="28" spans="1:9" x14ac:dyDescent="0.35">
      <c r="A28" t="str">
        <f>A3</f>
        <v>RibbonSplitButtonName</v>
      </c>
      <c r="E28" t="str">
        <f>ТЕКСТВКОМЕНТ(A3,G28)</f>
        <v>Название сплитера ленты, если пусто иконки не будут прятаться под сплитер</v>
      </c>
      <c r="G28" s="20" t="s">
        <v>595</v>
      </c>
    </row>
    <row r="29" spans="1:9" x14ac:dyDescent="0.35">
      <c r="A29" t="str">
        <f t="shared" ref="A29:A46" si="3">A4</f>
        <v>DontTake</v>
      </c>
      <c r="E29" t="str">
        <f t="shared" ref="E29:E43" si="4">ТЕКСТВКОМЕНТ(A4,G29)</f>
        <v>Не регистрировать команду, эта строка будет пропущена если значение ИСКЛЮЧИТЬ</v>
      </c>
      <c r="G29" s="20" t="s">
        <v>609</v>
      </c>
    </row>
    <row r="30" spans="1:9" x14ac:dyDescent="0.35">
      <c r="A30" t="str">
        <f t="shared" si="3"/>
        <v>HideCommand</v>
      </c>
      <c r="E30" t="str">
        <f t="shared" si="4"/>
        <v>Команду зарегистрировать, но не показывать в интерфейсе, если ИСКЛЮЧИТЬ</v>
      </c>
      <c r="G30" s="20" t="s">
        <v>610</v>
      </c>
    </row>
    <row r="31" spans="1:9" x14ac:dyDescent="0.35">
      <c r="A31" t="str">
        <f t="shared" si="3"/>
        <v>ResourceDllName</v>
      </c>
      <c r="E31" t="str">
        <f t="shared" si="4"/>
        <v>Имя ресурсной dll. Обязательно, если установлен IconName, либо название иконки</v>
      </c>
      <c r="G31" s="20" t="s">
        <v>606</v>
      </c>
    </row>
    <row r="32" spans="1:9" x14ac:dyDescent="0.35">
      <c r="A32" t="str">
        <f t="shared" si="3"/>
        <v>IconName</v>
      </c>
      <c r="E32" t="str">
        <f t="shared" si="4"/>
        <v>Название иконки, из ресурсной dll, только если в ResourceDllName имя библиотеки, иначе ничего</v>
      </c>
      <c r="G32" s="20" t="s">
        <v>611</v>
      </c>
    </row>
    <row r="33" spans="1:7" ht="25.5" x14ac:dyDescent="0.35">
      <c r="A33" t="str">
        <f t="shared" si="3"/>
        <v>AppName</v>
      </c>
      <c r="E33" t="str">
        <f t="shared" si="4"/>
        <v>Приложение, может быть пустым, иначе верхний уровень меню</v>
      </c>
      <c r="G33" s="64" t="s">
        <v>612</v>
      </c>
    </row>
    <row r="34" spans="1:7" x14ac:dyDescent="0.35">
      <c r="A34" t="str">
        <f t="shared" si="3"/>
        <v>AddonName</v>
      </c>
      <c r="E34" t="str">
        <f t="shared" si="4"/>
        <v>Аддон, может быть пустым, иначе подменю под главным меню</v>
      </c>
      <c r="G34" s="62" t="s">
        <v>613</v>
      </c>
    </row>
    <row r="35" spans="1:7" x14ac:dyDescent="0.35">
      <c r="A35" t="str">
        <f t="shared" si="3"/>
        <v>LocalName</v>
      </c>
      <c r="E35" t="str">
        <f t="shared" si="4"/>
        <v>Локализованное имя команды</v>
      </c>
      <c r="G35" s="62" t="s">
        <v>596</v>
      </c>
    </row>
    <row r="36" spans="1:7" x14ac:dyDescent="0.35">
      <c r="A36" t="str">
        <f t="shared" si="3"/>
        <v>RealCommandName</v>
      </c>
      <c r="E36" t="str">
        <f t="shared" si="4"/>
        <v>Реальное имя команды</v>
      </c>
      <c r="G36" s="62" t="s">
        <v>599</v>
      </c>
    </row>
    <row r="37" spans="1:7" x14ac:dyDescent="0.35">
      <c r="A37" t="str">
        <f t="shared" si="3"/>
        <v>Keyword</v>
      </c>
      <c r="E37" t="str">
        <f t="shared" si="4"/>
        <v>Ключевое слово</v>
      </c>
      <c r="G37" s="62" t="s">
        <v>598</v>
      </c>
    </row>
    <row r="38" spans="1:7" x14ac:dyDescent="0.35">
      <c r="A38" t="str">
        <f t="shared" si="3"/>
        <v>weight</v>
      </c>
      <c r="E38" t="str">
        <f t="shared" si="4"/>
        <v>Вес команды, по умолчанию 10</v>
      </c>
      <c r="G38" s="62" t="s">
        <v>614</v>
      </c>
    </row>
    <row r="39" spans="1:7" x14ac:dyDescent="0.35">
      <c r="A39" t="str">
        <f t="shared" si="3"/>
        <v>cmdtype</v>
      </c>
      <c r="E39" t="str">
        <f t="shared" si="4"/>
        <v>Контекст выполнения команды, по умолчанию 1-контекст документа, если 0-контекст приложения</v>
      </c>
      <c r="G39" s="62" t="s">
        <v>615</v>
      </c>
    </row>
    <row r="40" spans="1:7" x14ac:dyDescent="0.35">
      <c r="A40" t="str">
        <f t="shared" si="3"/>
        <v>ToolTipText</v>
      </c>
      <c r="E40" t="str">
        <f t="shared" si="4"/>
        <v>Всплывающая подсказка</v>
      </c>
      <c r="G40" s="62" t="s">
        <v>602</v>
      </c>
    </row>
    <row r="41" spans="1:7" x14ac:dyDescent="0.35">
      <c r="A41" t="str">
        <f t="shared" si="3"/>
        <v>Accelerators</v>
      </c>
      <c r="E41" t="str">
        <f t="shared" si="4"/>
        <v>Горячие клавиши</v>
      </c>
      <c r="G41" s="62" t="s">
        <v>597</v>
      </c>
    </row>
    <row r="42" spans="1:7" ht="25.5" x14ac:dyDescent="0.35">
      <c r="A42" t="str">
        <f t="shared" si="3"/>
        <v>VirtualPanel</v>
      </c>
      <c r="E42" t="str">
        <f t="shared" si="4"/>
        <v>Виртуальная панель.  Не используется</v>
      </c>
      <c r="G42" s="64" t="s">
        <v>603</v>
      </c>
    </row>
    <row r="43" spans="1:7" x14ac:dyDescent="0.35">
      <c r="A43" t="str">
        <f t="shared" si="3"/>
        <v>Separator</v>
      </c>
      <c r="E43" t="str">
        <f t="shared" si="4"/>
        <v>Разделитель. Не используется</v>
      </c>
      <c r="G43" s="62" t="s">
        <v>604</v>
      </c>
    </row>
    <row r="44" spans="1:7" x14ac:dyDescent="0.35">
      <c r="A44">
        <f t="shared" si="3"/>
        <v>0</v>
      </c>
    </row>
    <row r="45" spans="1:7" x14ac:dyDescent="0.35">
      <c r="A45">
        <f t="shared" si="3"/>
        <v>0</v>
      </c>
    </row>
    <row r="46" spans="1:7" x14ac:dyDescent="0.35">
      <c r="A46">
        <f t="shared" si="3"/>
        <v>0</v>
      </c>
    </row>
  </sheetData>
  <conditionalFormatting sqref="G3:G18">
    <cfRule type="cellIs" dxfId="86" priority="13" operator="equal">
      <formula>"TRUE"</formula>
    </cfRule>
  </conditionalFormatting>
  <conditionalFormatting sqref="C3:C18">
    <cfRule type="cellIs" dxfId="85" priority="14" operator="equal">
      <formula>"Панели инструментов"</formula>
    </cfRule>
  </conditionalFormatting>
  <conditionalFormatting sqref="C3:C18">
    <cfRule type="cellIs" dxfId="84" priority="15" operator="equal">
      <formula>"Оформление"</formula>
    </cfRule>
  </conditionalFormatting>
  <conditionalFormatting sqref="C3:C18">
    <cfRule type="cellIs" dxfId="83" priority="16" operator="equal">
      <formula>"Преобразование"</formula>
    </cfRule>
  </conditionalFormatting>
  <conditionalFormatting sqref="C3:C18">
    <cfRule type="cellIs" dxfId="82" priority="17" operator="equal">
      <formula>"Работа с полилинией"</formula>
    </cfRule>
  </conditionalFormatting>
  <conditionalFormatting sqref="C3:C18">
    <cfRule type="cellIs" dxfId="81" priority="18" operator="equal">
      <formula>"Геодезия и маркшейдерия"</formula>
    </cfRule>
  </conditionalFormatting>
  <conditionalFormatting sqref="C3:C18">
    <cfRule type="cellIs" dxfId="80" priority="19" operator="equal">
      <formula>"Инфо"</formula>
    </cfRule>
  </conditionalFormatting>
  <conditionalFormatting sqref="C3:C18">
    <cfRule type="cellIs" dxfId="79" priority="20" operator="equal">
      <formula>"Скрытые команды"</formula>
    </cfRule>
  </conditionalFormatting>
  <conditionalFormatting sqref="C3:C18">
    <cfRule type="cellIs" dxfId="78" priority="21" operator="equal">
      <formula>"Точки и блоки"</formula>
    </cfRule>
  </conditionalFormatting>
  <conditionalFormatting sqref="C3:C18">
    <cfRule type="cellIs" dxfId="77" priority="22" operator="equal">
      <formula>"Текст и атрибуты"</formula>
    </cfRule>
  </conditionalFormatting>
  <conditionalFormatting sqref="C3:C18">
    <cfRule type="cellIs" dxfId="76" priority="23" operator="equal">
      <formula>"Выбор и очистка"</formula>
    </cfRule>
  </conditionalFormatting>
  <conditionalFormatting sqref="C3:C18">
    <cfRule type="cellIs" dxfId="75" priority="24" operator="equal">
      <formula>"Растры"</formula>
    </cfRule>
  </conditionalFormatting>
  <conditionalFormatting sqref="C1">
    <cfRule type="cellIs" dxfId="74" priority="2" operator="equal">
      <formula>"Панели инструментов"</formula>
    </cfRule>
  </conditionalFormatting>
  <conditionalFormatting sqref="C1">
    <cfRule type="cellIs" dxfId="73" priority="3" operator="equal">
      <formula>"Оформление"</formula>
    </cfRule>
  </conditionalFormatting>
  <conditionalFormatting sqref="C1">
    <cfRule type="cellIs" dxfId="72" priority="4" operator="equal">
      <formula>"Преобразование"</formula>
    </cfRule>
  </conditionalFormatting>
  <conditionalFormatting sqref="C1">
    <cfRule type="cellIs" dxfId="71" priority="5" operator="equal">
      <formula>"Работа с полилинией"</formula>
    </cfRule>
  </conditionalFormatting>
  <conditionalFormatting sqref="C1">
    <cfRule type="cellIs" dxfId="70" priority="6" operator="equal">
      <formula>"Геодезия и маркшейдерия"</formula>
    </cfRule>
  </conditionalFormatting>
  <conditionalFormatting sqref="C1">
    <cfRule type="cellIs" dxfId="69" priority="7" operator="equal">
      <formula>"Инфо"</formula>
    </cfRule>
  </conditionalFormatting>
  <conditionalFormatting sqref="C1">
    <cfRule type="cellIs" dxfId="68" priority="8" operator="equal">
      <formula>"Скрытые команды"</formula>
    </cfRule>
  </conditionalFormatting>
  <conditionalFormatting sqref="C1">
    <cfRule type="cellIs" dxfId="67" priority="9" operator="equal">
      <formula>"Точки и блоки"</formula>
    </cfRule>
  </conditionalFormatting>
  <conditionalFormatting sqref="C1">
    <cfRule type="cellIs" dxfId="66" priority="10" operator="equal">
      <formula>"Текст и атрибуты"</formula>
    </cfRule>
  </conditionalFormatting>
  <conditionalFormatting sqref="C1">
    <cfRule type="cellIs" dxfId="65" priority="11" operator="equal">
      <formula>"Выбор и очистка"</formula>
    </cfRule>
  </conditionalFormatting>
  <conditionalFormatting sqref="C1">
    <cfRule type="cellIs" dxfId="64" priority="12" operator="equal">
      <formula>"Растры"</formula>
    </cfRule>
  </conditionalFormatting>
  <conditionalFormatting sqref="I1:I18">
    <cfRule type="cellIs" dxfId="63" priority="1" operator="equal">
      <formula>"TRUE"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  <pageSetUpPr fitToPage="1"/>
  </sheetPr>
  <dimension ref="A1:O147"/>
  <sheetViews>
    <sheetView workbookViewId="0">
      <pane ySplit="1" topLeftCell="A29" activePane="bottomLeft" state="frozen"/>
      <selection pane="bottomLeft" activeCell="B23" sqref="B23"/>
    </sheetView>
  </sheetViews>
  <sheetFormatPr defaultColWidth="12.59765625" defaultRowHeight="15" customHeight="1" x14ac:dyDescent="0.35"/>
  <cols>
    <col min="1" max="1" width="42.86328125" customWidth="1"/>
    <col min="2" max="2" width="34" customWidth="1"/>
    <col min="3" max="3" width="49.265625" customWidth="1"/>
    <col min="4" max="4" width="28.3984375" customWidth="1"/>
    <col min="5" max="5" width="17.86328125" customWidth="1"/>
    <col min="6" max="6" width="21.3984375" customWidth="1"/>
    <col min="7" max="7" width="17.86328125" customWidth="1"/>
    <col min="8" max="8" width="45.73046875" customWidth="1"/>
    <col min="9" max="9" width="15.73046875" customWidth="1"/>
    <col min="10" max="10" width="13" customWidth="1"/>
    <col min="11" max="11" width="9" customWidth="1"/>
  </cols>
  <sheetData>
    <row r="1" spans="1:15" ht="15.75" customHeight="1" x14ac:dyDescent="0.3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  <c r="L1" s="18" t="s">
        <v>419</v>
      </c>
      <c r="M1" s="18" t="s">
        <v>420</v>
      </c>
      <c r="N1" s="18" t="s">
        <v>452</v>
      </c>
      <c r="O1" s="18" t="s">
        <v>453</v>
      </c>
    </row>
    <row r="2" spans="1:15" ht="15.75" customHeight="1" x14ac:dyDescent="0.35">
      <c r="A2" s="24" t="s">
        <v>373</v>
      </c>
      <c r="B2" s="24" t="s">
        <v>403</v>
      </c>
      <c r="C2" s="24" t="s">
        <v>373</v>
      </c>
      <c r="D2" s="24" t="s">
        <v>421</v>
      </c>
      <c r="E2" s="1" t="s">
        <v>15</v>
      </c>
      <c r="F2" s="1"/>
      <c r="G2" s="1" t="b">
        <v>0</v>
      </c>
      <c r="H2" s="1" t="b">
        <v>0</v>
      </c>
      <c r="I2" s="1"/>
      <c r="J2" s="2"/>
      <c r="K2" s="17" t="b">
        <v>0</v>
      </c>
      <c r="L2" s="23" t="s">
        <v>455</v>
      </c>
      <c r="M2" s="23" t="s">
        <v>456</v>
      </c>
      <c r="N2" s="23" t="s">
        <v>454</v>
      </c>
      <c r="O2" s="23" t="s">
        <v>454</v>
      </c>
    </row>
    <row r="3" spans="1:15" ht="15.75" customHeight="1" x14ac:dyDescent="0.35">
      <c r="A3" s="24" t="s">
        <v>374</v>
      </c>
      <c r="B3" s="24" t="s">
        <v>404</v>
      </c>
      <c r="C3" s="24" t="s">
        <v>374</v>
      </c>
      <c r="D3" s="24" t="s">
        <v>421</v>
      </c>
      <c r="E3" s="1" t="s">
        <v>15</v>
      </c>
      <c r="F3" s="1"/>
      <c r="G3" s="1" t="b">
        <v>0</v>
      </c>
      <c r="H3" s="1" t="b">
        <v>0</v>
      </c>
      <c r="I3" s="1"/>
      <c r="J3" s="2"/>
      <c r="K3" s="17" t="b">
        <v>0</v>
      </c>
      <c r="L3" s="23" t="s">
        <v>455</v>
      </c>
      <c r="M3" s="23" t="s">
        <v>456</v>
      </c>
      <c r="N3" s="23" t="s">
        <v>454</v>
      </c>
      <c r="O3" s="23" t="s">
        <v>454</v>
      </c>
    </row>
    <row r="4" spans="1:15" ht="15.75" customHeight="1" x14ac:dyDescent="0.35">
      <c r="A4" s="24" t="s">
        <v>379</v>
      </c>
      <c r="B4" s="24" t="s">
        <v>409</v>
      </c>
      <c r="C4" s="24" t="s">
        <v>379</v>
      </c>
      <c r="D4" s="24" t="s">
        <v>421</v>
      </c>
      <c r="E4" s="1" t="s">
        <v>17</v>
      </c>
      <c r="F4" s="1"/>
      <c r="G4" s="1" t="b">
        <v>0</v>
      </c>
      <c r="H4" s="1" t="b">
        <v>0</v>
      </c>
      <c r="I4" s="3"/>
      <c r="J4" s="2"/>
      <c r="K4" s="17" t="b">
        <v>0</v>
      </c>
      <c r="L4" s="23" t="s">
        <v>455</v>
      </c>
      <c r="M4" s="23" t="s">
        <v>456</v>
      </c>
      <c r="N4" s="23" t="s">
        <v>454</v>
      </c>
      <c r="O4" s="23" t="s">
        <v>454</v>
      </c>
    </row>
    <row r="5" spans="1:15" ht="15.75" customHeight="1" x14ac:dyDescent="0.35">
      <c r="A5" s="24" t="s">
        <v>380</v>
      </c>
      <c r="B5" s="24" t="s">
        <v>410</v>
      </c>
      <c r="C5" s="24" t="s">
        <v>380</v>
      </c>
      <c r="D5" s="24" t="s">
        <v>421</v>
      </c>
      <c r="E5" s="1" t="s">
        <v>17</v>
      </c>
      <c r="F5" s="1"/>
      <c r="G5" s="1" t="b">
        <v>0</v>
      </c>
      <c r="H5" s="1" t="b">
        <v>0</v>
      </c>
      <c r="I5" s="1"/>
      <c r="J5" s="2"/>
      <c r="K5" s="17" t="b">
        <v>0</v>
      </c>
      <c r="L5" s="23" t="s">
        <v>455</v>
      </c>
      <c r="M5" s="23" t="s">
        <v>456</v>
      </c>
      <c r="N5" s="23" t="s">
        <v>454</v>
      </c>
      <c r="O5" s="23" t="s">
        <v>454</v>
      </c>
    </row>
    <row r="6" spans="1:15" ht="15.75" customHeight="1" x14ac:dyDescent="0.35">
      <c r="A6" s="24" t="s">
        <v>371</v>
      </c>
      <c r="B6" s="24" t="s">
        <v>394</v>
      </c>
      <c r="C6" s="24" t="s">
        <v>371</v>
      </c>
      <c r="D6" s="25" t="s">
        <v>421</v>
      </c>
      <c r="E6" s="1" t="s">
        <v>17</v>
      </c>
      <c r="F6" s="1"/>
      <c r="G6" s="1" t="b">
        <v>0</v>
      </c>
      <c r="H6" s="1" t="b">
        <v>0</v>
      </c>
      <c r="I6" s="3"/>
      <c r="J6" s="2"/>
      <c r="K6" s="17" t="b">
        <v>0</v>
      </c>
      <c r="L6" s="23" t="s">
        <v>455</v>
      </c>
      <c r="M6" s="23" t="s">
        <v>456</v>
      </c>
      <c r="N6" s="23" t="s">
        <v>454</v>
      </c>
      <c r="O6" s="23" t="s">
        <v>454</v>
      </c>
    </row>
    <row r="7" spans="1:15" ht="15.75" customHeight="1" x14ac:dyDescent="0.35">
      <c r="A7" s="24" t="s">
        <v>369</v>
      </c>
      <c r="B7" s="24" t="s">
        <v>400</v>
      </c>
      <c r="C7" s="24" t="s">
        <v>369</v>
      </c>
      <c r="D7" s="25" t="s">
        <v>421</v>
      </c>
      <c r="E7" s="1" t="s">
        <v>17</v>
      </c>
      <c r="F7" s="1"/>
      <c r="G7" s="1" t="b">
        <v>0</v>
      </c>
      <c r="H7" s="1" t="b">
        <v>0</v>
      </c>
      <c r="I7" s="3"/>
      <c r="J7" s="2"/>
      <c r="K7" s="17" t="b">
        <v>0</v>
      </c>
      <c r="L7" s="23" t="s">
        <v>455</v>
      </c>
      <c r="M7" s="23" t="s">
        <v>456</v>
      </c>
      <c r="N7" s="23" t="s">
        <v>454</v>
      </c>
      <c r="O7" s="23" t="s">
        <v>454</v>
      </c>
    </row>
    <row r="8" spans="1:15" ht="15.75" customHeight="1" x14ac:dyDescent="0.35">
      <c r="A8" s="24" t="s">
        <v>370</v>
      </c>
      <c r="B8" s="24" t="s">
        <v>401</v>
      </c>
      <c r="C8" s="24" t="s">
        <v>370</v>
      </c>
      <c r="D8" s="25" t="s">
        <v>421</v>
      </c>
      <c r="E8" s="1" t="s">
        <v>17</v>
      </c>
      <c r="F8" s="1"/>
      <c r="G8" s="1" t="b">
        <v>0</v>
      </c>
      <c r="H8" s="1" t="b">
        <v>0</v>
      </c>
      <c r="I8" s="1"/>
      <c r="J8" s="2"/>
      <c r="K8" s="17" t="b">
        <v>0</v>
      </c>
      <c r="L8" s="23" t="s">
        <v>455</v>
      </c>
      <c r="M8" s="23" t="s">
        <v>456</v>
      </c>
      <c r="N8" s="23" t="s">
        <v>454</v>
      </c>
      <c r="O8" s="23" t="s">
        <v>454</v>
      </c>
    </row>
    <row r="9" spans="1:15" ht="15.75" customHeight="1" x14ac:dyDescent="0.35">
      <c r="A9" s="24" t="s">
        <v>375</v>
      </c>
      <c r="B9" s="24" t="s">
        <v>405</v>
      </c>
      <c r="C9" s="24" t="s">
        <v>375</v>
      </c>
      <c r="D9" s="24" t="s">
        <v>448</v>
      </c>
      <c r="E9" s="1" t="s">
        <v>15</v>
      </c>
      <c r="F9" s="24" t="s">
        <v>448</v>
      </c>
      <c r="G9" s="1" t="b">
        <v>0</v>
      </c>
      <c r="H9" s="1" t="b">
        <v>0</v>
      </c>
      <c r="I9" s="3"/>
      <c r="J9" s="2"/>
      <c r="K9" s="17" t="b">
        <v>0</v>
      </c>
      <c r="L9" s="23" t="s">
        <v>455</v>
      </c>
      <c r="M9" s="23" t="s">
        <v>456</v>
      </c>
      <c r="N9" s="23" t="s">
        <v>454</v>
      </c>
      <c r="O9" s="23" t="s">
        <v>454</v>
      </c>
    </row>
    <row r="10" spans="1:15" ht="15.75" customHeight="1" x14ac:dyDescent="0.35">
      <c r="A10" s="24" t="s">
        <v>376</v>
      </c>
      <c r="B10" s="24" t="s">
        <v>406</v>
      </c>
      <c r="C10" s="24" t="s">
        <v>376</v>
      </c>
      <c r="D10" s="25" t="s">
        <v>448</v>
      </c>
      <c r="E10" s="1" t="s">
        <v>15</v>
      </c>
      <c r="F10" s="24" t="s">
        <v>448</v>
      </c>
      <c r="G10" s="1" t="b">
        <v>0</v>
      </c>
      <c r="H10" s="1" t="b">
        <v>0</v>
      </c>
      <c r="I10" s="3"/>
      <c r="J10" s="2"/>
      <c r="K10" s="17" t="b">
        <v>0</v>
      </c>
      <c r="L10" s="23" t="s">
        <v>455</v>
      </c>
      <c r="M10" s="23" t="s">
        <v>456</v>
      </c>
      <c r="N10" s="23" t="s">
        <v>454</v>
      </c>
      <c r="O10" s="23" t="s">
        <v>454</v>
      </c>
    </row>
    <row r="11" spans="1:15" ht="15.75" customHeight="1" x14ac:dyDescent="0.35">
      <c r="A11" s="24" t="s">
        <v>381</v>
      </c>
      <c r="B11" s="24" t="s">
        <v>411</v>
      </c>
      <c r="C11" s="24" t="s">
        <v>381</v>
      </c>
      <c r="D11" s="24" t="s">
        <v>459</v>
      </c>
      <c r="E11" s="1" t="s">
        <v>15</v>
      </c>
      <c r="F11" s="1" t="s">
        <v>458</v>
      </c>
      <c r="G11" s="1" t="b">
        <v>0</v>
      </c>
      <c r="H11" s="1" t="b">
        <v>0</v>
      </c>
      <c r="I11" s="1"/>
      <c r="J11" s="2"/>
      <c r="K11" s="17" t="b">
        <v>0</v>
      </c>
      <c r="L11" s="23" t="s">
        <v>455</v>
      </c>
      <c r="M11" s="23" t="s">
        <v>456</v>
      </c>
      <c r="N11" s="23" t="s">
        <v>454</v>
      </c>
      <c r="O11" s="23" t="s">
        <v>454</v>
      </c>
    </row>
    <row r="12" spans="1:15" ht="15.75" customHeight="1" x14ac:dyDescent="0.35">
      <c r="A12" s="24" t="s">
        <v>388</v>
      </c>
      <c r="B12" s="24" t="s">
        <v>418</v>
      </c>
      <c r="C12" s="24" t="s">
        <v>388</v>
      </c>
      <c r="D12" s="24" t="s">
        <v>459</v>
      </c>
      <c r="E12" s="1" t="s">
        <v>15</v>
      </c>
      <c r="F12" s="1" t="s">
        <v>458</v>
      </c>
      <c r="G12" s="1" t="b">
        <v>0</v>
      </c>
      <c r="H12" s="1" t="b">
        <v>0</v>
      </c>
      <c r="I12" s="1"/>
      <c r="J12" s="2"/>
      <c r="K12" s="17" t="b">
        <v>0</v>
      </c>
      <c r="L12" s="23" t="s">
        <v>455</v>
      </c>
      <c r="M12" s="23" t="s">
        <v>456</v>
      </c>
      <c r="N12" s="23" t="s">
        <v>454</v>
      </c>
      <c r="O12" s="23" t="s">
        <v>454</v>
      </c>
    </row>
    <row r="13" spans="1:15" ht="15.75" customHeight="1" x14ac:dyDescent="0.35">
      <c r="A13" s="24" t="s">
        <v>382</v>
      </c>
      <c r="B13" s="24" t="s">
        <v>412</v>
      </c>
      <c r="C13" s="24" t="s">
        <v>382</v>
      </c>
      <c r="D13" s="24" t="s">
        <v>449</v>
      </c>
      <c r="E13" s="1" t="s">
        <v>17</v>
      </c>
      <c r="F13" s="1"/>
      <c r="G13" s="1" t="b">
        <v>0</v>
      </c>
      <c r="H13" s="1" t="b">
        <v>0</v>
      </c>
      <c r="I13" s="1"/>
      <c r="J13" s="2"/>
      <c r="K13" s="17" t="b">
        <v>0</v>
      </c>
      <c r="L13" s="23" t="s">
        <v>455</v>
      </c>
      <c r="M13" s="23" t="s">
        <v>456</v>
      </c>
      <c r="N13" s="23" t="s">
        <v>454</v>
      </c>
      <c r="O13" s="23" t="s">
        <v>454</v>
      </c>
    </row>
    <row r="14" spans="1:15" ht="15.75" customHeight="1" x14ac:dyDescent="0.35">
      <c r="A14" s="24" t="s">
        <v>383</v>
      </c>
      <c r="B14" s="24" t="s">
        <v>413</v>
      </c>
      <c r="C14" s="24" t="s">
        <v>383</v>
      </c>
      <c r="D14" s="25" t="s">
        <v>449</v>
      </c>
      <c r="E14" s="1" t="s">
        <v>17</v>
      </c>
      <c r="F14" s="1"/>
      <c r="G14" s="1" t="b">
        <v>0</v>
      </c>
      <c r="H14" s="1" t="b">
        <v>0</v>
      </c>
      <c r="I14" s="1"/>
      <c r="J14" s="2"/>
      <c r="K14" s="17" t="b">
        <v>0</v>
      </c>
      <c r="L14" s="23" t="s">
        <v>455</v>
      </c>
      <c r="M14" s="23" t="s">
        <v>456</v>
      </c>
      <c r="N14" s="23" t="s">
        <v>454</v>
      </c>
      <c r="O14" s="23" t="s">
        <v>454</v>
      </c>
    </row>
    <row r="15" spans="1:15" ht="15.75" customHeight="1" x14ac:dyDescent="0.35">
      <c r="A15" s="24" t="s">
        <v>384</v>
      </c>
      <c r="B15" s="24" t="s">
        <v>414</v>
      </c>
      <c r="C15" s="24" t="s">
        <v>384</v>
      </c>
      <c r="D15" s="25" t="s">
        <v>449</v>
      </c>
      <c r="E15" s="1" t="s">
        <v>17</v>
      </c>
      <c r="F15" s="1"/>
      <c r="G15" s="1" t="b">
        <v>0</v>
      </c>
      <c r="H15" s="1" t="b">
        <v>0</v>
      </c>
      <c r="I15" s="3"/>
      <c r="J15" s="2"/>
      <c r="K15" s="17" t="b">
        <v>0</v>
      </c>
      <c r="L15" s="23" t="s">
        <v>455</v>
      </c>
      <c r="M15" s="23" t="s">
        <v>456</v>
      </c>
      <c r="N15" s="23" t="s">
        <v>454</v>
      </c>
      <c r="O15" s="23" t="s">
        <v>454</v>
      </c>
    </row>
    <row r="16" spans="1:15" ht="15.75" customHeight="1" x14ac:dyDescent="0.35">
      <c r="A16" s="24" t="s">
        <v>385</v>
      </c>
      <c r="B16" s="24" t="s">
        <v>415</v>
      </c>
      <c r="C16" s="24" t="s">
        <v>385</v>
      </c>
      <c r="D16" s="25" t="s">
        <v>449</v>
      </c>
      <c r="E16" s="1" t="s">
        <v>17</v>
      </c>
      <c r="F16" s="1"/>
      <c r="G16" s="1" t="b">
        <v>0</v>
      </c>
      <c r="H16" s="1" t="b">
        <v>0</v>
      </c>
      <c r="I16" s="3"/>
      <c r="J16" s="2"/>
      <c r="K16" s="17" t="b">
        <v>0</v>
      </c>
      <c r="L16" s="23" t="s">
        <v>455</v>
      </c>
      <c r="M16" s="23" t="s">
        <v>456</v>
      </c>
      <c r="N16" s="23" t="s">
        <v>454</v>
      </c>
      <c r="O16" s="23" t="s">
        <v>454</v>
      </c>
    </row>
    <row r="17" spans="1:15" ht="15.75" customHeight="1" x14ac:dyDescent="0.35">
      <c r="A17" s="24" t="s">
        <v>386</v>
      </c>
      <c r="B17" s="24" t="s">
        <v>416</v>
      </c>
      <c r="C17" s="24" t="s">
        <v>386</v>
      </c>
      <c r="D17" s="25" t="s">
        <v>449</v>
      </c>
      <c r="E17" s="1" t="s">
        <v>17</v>
      </c>
      <c r="F17" s="1"/>
      <c r="G17" s="1" t="b">
        <v>0</v>
      </c>
      <c r="H17" s="1" t="b">
        <v>0</v>
      </c>
      <c r="I17" s="1"/>
      <c r="J17" s="2"/>
      <c r="K17" s="17" t="b">
        <v>0</v>
      </c>
      <c r="L17" s="23" t="s">
        <v>455</v>
      </c>
      <c r="M17" s="23" t="s">
        <v>456</v>
      </c>
      <c r="N17" s="23" t="s">
        <v>454</v>
      </c>
      <c r="O17" s="23" t="s">
        <v>454</v>
      </c>
    </row>
    <row r="18" spans="1:15" ht="15.75" customHeight="1" x14ac:dyDescent="0.35">
      <c r="A18" s="24" t="s">
        <v>450</v>
      </c>
      <c r="B18" s="24" t="s">
        <v>417</v>
      </c>
      <c r="C18" s="24" t="s">
        <v>450</v>
      </c>
      <c r="D18" s="25" t="s">
        <v>449</v>
      </c>
      <c r="E18" s="1" t="s">
        <v>17</v>
      </c>
      <c r="F18" s="2"/>
      <c r="G18" s="1" t="b">
        <v>0</v>
      </c>
      <c r="H18" s="1" t="b">
        <v>0</v>
      </c>
      <c r="I18" s="2"/>
      <c r="J18" s="2"/>
      <c r="K18" s="17" t="b">
        <v>0</v>
      </c>
      <c r="L18" s="23" t="s">
        <v>455</v>
      </c>
      <c r="M18" s="23" t="s">
        <v>456</v>
      </c>
      <c r="N18" s="23" t="s">
        <v>454</v>
      </c>
      <c r="O18" s="23" t="s">
        <v>454</v>
      </c>
    </row>
    <row r="19" spans="1:15" ht="15.75" customHeight="1" x14ac:dyDescent="0.35">
      <c r="A19" s="24" t="s">
        <v>377</v>
      </c>
      <c r="B19" s="24" t="s">
        <v>407</v>
      </c>
      <c r="C19" s="24" t="s">
        <v>377</v>
      </c>
      <c r="D19" s="24" t="s">
        <v>451</v>
      </c>
      <c r="E19" s="1" t="s">
        <v>15</v>
      </c>
      <c r="F19" s="24" t="s">
        <v>451</v>
      </c>
      <c r="G19" s="1" t="b">
        <v>0</v>
      </c>
      <c r="H19" s="1" t="b">
        <v>0</v>
      </c>
      <c r="I19" s="1"/>
      <c r="J19" s="2"/>
      <c r="K19" s="17" t="b">
        <v>0</v>
      </c>
      <c r="L19" s="23" t="s">
        <v>455</v>
      </c>
      <c r="M19" s="23" t="s">
        <v>456</v>
      </c>
      <c r="N19" s="23" t="s">
        <v>454</v>
      </c>
      <c r="O19" s="23" t="s">
        <v>454</v>
      </c>
    </row>
    <row r="20" spans="1:15" ht="15.75" customHeight="1" x14ac:dyDescent="0.35">
      <c r="A20" s="24" t="s">
        <v>378</v>
      </c>
      <c r="B20" s="24" t="s">
        <v>408</v>
      </c>
      <c r="C20" s="24" t="s">
        <v>378</v>
      </c>
      <c r="D20" s="25" t="s">
        <v>451</v>
      </c>
      <c r="E20" s="1" t="s">
        <v>15</v>
      </c>
      <c r="F20" s="25" t="s">
        <v>451</v>
      </c>
      <c r="G20" s="1" t="b">
        <v>0</v>
      </c>
      <c r="H20" s="1" t="b">
        <v>0</v>
      </c>
      <c r="I20" s="1"/>
      <c r="J20" s="2"/>
      <c r="K20" s="17" t="b">
        <v>0</v>
      </c>
      <c r="L20" s="23" t="s">
        <v>455</v>
      </c>
      <c r="M20" s="23" t="s">
        <v>456</v>
      </c>
      <c r="N20" s="23" t="s">
        <v>454</v>
      </c>
      <c r="O20" s="23" t="s">
        <v>454</v>
      </c>
    </row>
    <row r="21" spans="1:15" ht="15.75" customHeight="1" x14ac:dyDescent="0.35">
      <c r="A21" s="24" t="s">
        <v>372</v>
      </c>
      <c r="B21" s="24" t="s">
        <v>402</v>
      </c>
      <c r="C21" s="24" t="s">
        <v>372</v>
      </c>
      <c r="D21" s="25" t="s">
        <v>422</v>
      </c>
      <c r="E21" s="1" t="s">
        <v>17</v>
      </c>
      <c r="F21" s="1"/>
      <c r="G21" s="1" t="b">
        <v>0</v>
      </c>
      <c r="H21" s="1" t="b">
        <v>0</v>
      </c>
      <c r="I21" s="3"/>
      <c r="J21" s="4"/>
      <c r="K21" s="17" t="b">
        <v>0</v>
      </c>
      <c r="L21" s="23" t="s">
        <v>455</v>
      </c>
      <c r="M21" s="23" t="s">
        <v>456</v>
      </c>
      <c r="N21" s="23" t="s">
        <v>454</v>
      </c>
      <c r="O21" s="23" t="s">
        <v>454</v>
      </c>
    </row>
    <row r="22" spans="1:15" ht="15.75" customHeight="1" x14ac:dyDescent="0.35">
      <c r="A22" s="24" t="s">
        <v>389</v>
      </c>
      <c r="B22" s="24" t="s">
        <v>395</v>
      </c>
      <c r="C22" s="24" t="s">
        <v>389</v>
      </c>
      <c r="D22" s="24" t="s">
        <v>422</v>
      </c>
      <c r="E22" s="1" t="s">
        <v>17</v>
      </c>
      <c r="F22" s="1"/>
      <c r="G22" s="1" t="b">
        <v>0</v>
      </c>
      <c r="H22" s="1" t="b">
        <v>0</v>
      </c>
      <c r="I22" s="1"/>
      <c r="J22" s="2"/>
      <c r="K22" s="17" t="b">
        <v>0</v>
      </c>
      <c r="L22" s="23" t="s">
        <v>455</v>
      </c>
      <c r="M22" s="23" t="s">
        <v>456</v>
      </c>
      <c r="N22" s="23" t="s">
        <v>454</v>
      </c>
      <c r="O22" s="23" t="s">
        <v>454</v>
      </c>
    </row>
    <row r="23" spans="1:15" ht="15.75" customHeight="1" x14ac:dyDescent="0.35">
      <c r="A23" s="24" t="s">
        <v>390</v>
      </c>
      <c r="B23" s="24" t="s">
        <v>396</v>
      </c>
      <c r="C23" s="24" t="s">
        <v>390</v>
      </c>
      <c r="D23" s="24" t="s">
        <v>422</v>
      </c>
      <c r="E23" s="1" t="s">
        <v>17</v>
      </c>
      <c r="F23" s="1"/>
      <c r="G23" s="1" t="b">
        <v>0</v>
      </c>
      <c r="H23" s="1" t="b">
        <v>0</v>
      </c>
      <c r="I23" s="1"/>
      <c r="J23" s="4"/>
      <c r="K23" s="17" t="b">
        <v>0</v>
      </c>
      <c r="L23" s="23" t="s">
        <v>455</v>
      </c>
      <c r="M23" s="23" t="s">
        <v>456</v>
      </c>
      <c r="N23" s="23" t="s">
        <v>454</v>
      </c>
      <c r="O23" s="23" t="s">
        <v>454</v>
      </c>
    </row>
    <row r="24" spans="1:15" ht="15.75" customHeight="1" x14ac:dyDescent="0.35">
      <c r="A24" s="24" t="s">
        <v>391</v>
      </c>
      <c r="B24" s="24" t="s">
        <v>397</v>
      </c>
      <c r="C24" s="24" t="s">
        <v>391</v>
      </c>
      <c r="D24" s="24" t="s">
        <v>422</v>
      </c>
      <c r="E24" s="1" t="s">
        <v>15</v>
      </c>
      <c r="F24" s="1" t="s">
        <v>457</v>
      </c>
      <c r="G24" s="1" t="b">
        <v>0</v>
      </c>
      <c r="H24" s="1" t="b">
        <v>0</v>
      </c>
      <c r="I24" s="1"/>
      <c r="J24" s="5"/>
      <c r="K24" s="17" t="b">
        <v>0</v>
      </c>
      <c r="L24" s="23" t="s">
        <v>455</v>
      </c>
      <c r="M24" s="23" t="s">
        <v>456</v>
      </c>
      <c r="N24" s="23" t="s">
        <v>454</v>
      </c>
      <c r="O24" s="23" t="s">
        <v>454</v>
      </c>
    </row>
    <row r="25" spans="1:15" ht="15.75" customHeight="1" x14ac:dyDescent="0.35">
      <c r="A25" s="24" t="s">
        <v>392</v>
      </c>
      <c r="B25" s="24" t="s">
        <v>398</v>
      </c>
      <c r="C25" s="24" t="s">
        <v>392</v>
      </c>
      <c r="D25" s="24" t="s">
        <v>422</v>
      </c>
      <c r="E25" s="1" t="s">
        <v>15</v>
      </c>
      <c r="F25" s="1" t="s">
        <v>457</v>
      </c>
      <c r="G25" s="1" t="b">
        <v>0</v>
      </c>
      <c r="H25" s="1" t="b">
        <v>0</v>
      </c>
      <c r="I25" s="1"/>
      <c r="J25" s="6"/>
      <c r="K25" s="17" t="b">
        <v>0</v>
      </c>
      <c r="L25" s="23" t="s">
        <v>455</v>
      </c>
      <c r="M25" s="23" t="s">
        <v>456</v>
      </c>
      <c r="N25" s="23" t="s">
        <v>454</v>
      </c>
      <c r="O25" s="23" t="s">
        <v>454</v>
      </c>
    </row>
    <row r="26" spans="1:15" ht="15.75" customHeight="1" x14ac:dyDescent="0.35">
      <c r="A26" s="24" t="s">
        <v>393</v>
      </c>
      <c r="B26" s="24" t="s">
        <v>399</v>
      </c>
      <c r="C26" s="24" t="s">
        <v>393</v>
      </c>
      <c r="D26" s="24" t="s">
        <v>422</v>
      </c>
      <c r="E26" s="1" t="s">
        <v>17</v>
      </c>
      <c r="F26" s="1"/>
      <c r="G26" s="1" t="b">
        <v>0</v>
      </c>
      <c r="H26" s="1" t="b">
        <v>0</v>
      </c>
      <c r="I26" s="3"/>
      <c r="J26" s="2"/>
      <c r="K26" s="17" t="b">
        <v>0</v>
      </c>
      <c r="L26" s="23" t="s">
        <v>455</v>
      </c>
      <c r="M26" s="23" t="s">
        <v>456</v>
      </c>
      <c r="N26" s="23" t="s">
        <v>454</v>
      </c>
      <c r="O26" s="23" t="s">
        <v>454</v>
      </c>
    </row>
    <row r="27" spans="1:15" ht="15.75" customHeight="1" x14ac:dyDescent="0.35">
      <c r="A27" s="1" t="s">
        <v>19</v>
      </c>
      <c r="B27" s="1" t="s">
        <v>20</v>
      </c>
      <c r="C27" s="1" t="s">
        <v>21</v>
      </c>
      <c r="D27" s="1" t="s">
        <v>18</v>
      </c>
      <c r="E27" s="1" t="s">
        <v>17</v>
      </c>
      <c r="F27" s="1"/>
      <c r="G27" s="1" t="b">
        <v>0</v>
      </c>
      <c r="H27" s="1" t="b">
        <v>0</v>
      </c>
      <c r="I27" s="1"/>
      <c r="J27" s="2"/>
      <c r="K27" s="17" t="b">
        <v>0</v>
      </c>
      <c r="L27" s="1"/>
      <c r="M27" s="1"/>
      <c r="N27" s="1"/>
      <c r="O27" s="1"/>
    </row>
    <row r="28" spans="1:15" ht="15.75" customHeight="1" x14ac:dyDescent="0.35">
      <c r="A28" s="3" t="s">
        <v>22</v>
      </c>
      <c r="B28" s="1" t="s">
        <v>23</v>
      </c>
      <c r="C28" s="1" t="s">
        <v>24</v>
      </c>
      <c r="D28" s="1" t="s">
        <v>18</v>
      </c>
      <c r="E28" s="1" t="s">
        <v>17</v>
      </c>
      <c r="F28" s="1"/>
      <c r="G28" s="1" t="b">
        <v>0</v>
      </c>
      <c r="H28" s="1" t="b">
        <v>0</v>
      </c>
      <c r="I28" s="3"/>
      <c r="J28" s="2"/>
      <c r="K28" s="17" t="b">
        <v>0</v>
      </c>
      <c r="L28" s="1"/>
      <c r="M28" s="1"/>
      <c r="N28" s="1"/>
      <c r="O28" s="1"/>
    </row>
    <row r="29" spans="1:15" ht="15.75" customHeight="1" x14ac:dyDescent="0.35">
      <c r="A29" s="1" t="s">
        <v>25</v>
      </c>
      <c r="B29" s="1" t="s">
        <v>26</v>
      </c>
      <c r="C29" s="1" t="s">
        <v>27</v>
      </c>
      <c r="D29" s="1" t="s">
        <v>18</v>
      </c>
      <c r="E29" s="1" t="s">
        <v>17</v>
      </c>
      <c r="F29" s="1"/>
      <c r="G29" s="1" t="b">
        <v>0</v>
      </c>
      <c r="H29" s="1" t="b">
        <v>0</v>
      </c>
      <c r="I29" s="1"/>
      <c r="J29" s="2"/>
      <c r="K29" s="17" t="b">
        <v>0</v>
      </c>
      <c r="L29" s="1"/>
      <c r="M29" s="1"/>
      <c r="N29" s="1"/>
      <c r="O29" s="1"/>
    </row>
    <row r="30" spans="1:15" ht="15.75" customHeight="1" x14ac:dyDescent="0.35">
      <c r="A30" s="3" t="s">
        <v>28</v>
      </c>
      <c r="B30" s="1" t="s">
        <v>29</v>
      </c>
      <c r="C30" s="1" t="s">
        <v>30</v>
      </c>
      <c r="D30" s="1" t="s">
        <v>18</v>
      </c>
      <c r="E30" s="1" t="s">
        <v>17</v>
      </c>
      <c r="F30" s="1"/>
      <c r="G30" s="1" t="b">
        <v>0</v>
      </c>
      <c r="H30" s="1" t="b">
        <v>0</v>
      </c>
      <c r="I30" s="3"/>
      <c r="J30" s="2"/>
      <c r="K30" s="17" t="b">
        <v>0</v>
      </c>
      <c r="L30" s="1"/>
      <c r="M30" s="1"/>
      <c r="N30" s="1"/>
      <c r="O30" s="1"/>
    </row>
    <row r="31" spans="1:15" ht="15.75" customHeight="1" x14ac:dyDescent="0.35">
      <c r="A31" s="1" t="s">
        <v>31</v>
      </c>
      <c r="B31" s="1" t="s">
        <v>32</v>
      </c>
      <c r="C31" s="1" t="s">
        <v>33</v>
      </c>
      <c r="D31" s="1" t="s">
        <v>18</v>
      </c>
      <c r="E31" s="1" t="s">
        <v>17</v>
      </c>
      <c r="F31" s="1"/>
      <c r="G31" s="1" t="b">
        <v>0</v>
      </c>
      <c r="H31" s="1" t="b">
        <v>0</v>
      </c>
      <c r="I31" s="1"/>
      <c r="J31" s="2"/>
      <c r="K31" s="17" t="b">
        <v>0</v>
      </c>
      <c r="L31" s="1"/>
      <c r="M31" s="1"/>
      <c r="N31" s="1"/>
      <c r="O31" s="1"/>
    </row>
    <row r="32" spans="1:15" ht="15.75" customHeight="1" x14ac:dyDescent="0.35">
      <c r="A32" s="1" t="s">
        <v>34</v>
      </c>
      <c r="B32" s="1" t="s">
        <v>35</v>
      </c>
      <c r="C32" s="1" t="s">
        <v>36</v>
      </c>
      <c r="D32" s="1" t="s">
        <v>18</v>
      </c>
      <c r="E32" s="1" t="s">
        <v>17</v>
      </c>
      <c r="F32" s="1"/>
      <c r="G32" s="1" t="b">
        <v>0</v>
      </c>
      <c r="H32" s="1" t="b">
        <v>0</v>
      </c>
      <c r="I32" s="1"/>
      <c r="J32" s="2"/>
      <c r="K32" s="17" t="b">
        <v>0</v>
      </c>
      <c r="L32" s="1"/>
      <c r="M32" s="1"/>
      <c r="N32" s="1"/>
      <c r="O32" s="1"/>
    </row>
    <row r="33" spans="1:15" ht="15.75" customHeight="1" x14ac:dyDescent="0.35">
      <c r="A33" s="3" t="s">
        <v>37</v>
      </c>
      <c r="B33" s="1" t="s">
        <v>38</v>
      </c>
      <c r="C33" s="1" t="s">
        <v>39</v>
      </c>
      <c r="D33" s="1" t="s">
        <v>18</v>
      </c>
      <c r="E33" s="1" t="s">
        <v>17</v>
      </c>
      <c r="F33" s="1"/>
      <c r="G33" s="1" t="b">
        <v>0</v>
      </c>
      <c r="H33" s="1" t="b">
        <v>0</v>
      </c>
      <c r="I33" s="3"/>
      <c r="J33" s="2"/>
      <c r="K33" s="17" t="b">
        <v>0</v>
      </c>
      <c r="L33" s="1"/>
      <c r="M33" s="1"/>
      <c r="N33" s="1"/>
      <c r="O33" s="1"/>
    </row>
    <row r="34" spans="1:15" ht="15.75" customHeight="1" x14ac:dyDescent="0.35">
      <c r="A34" s="1" t="s">
        <v>40</v>
      </c>
      <c r="B34" s="1" t="s">
        <v>41</v>
      </c>
      <c r="C34" s="1" t="s">
        <v>42</v>
      </c>
      <c r="D34" s="1" t="s">
        <v>18</v>
      </c>
      <c r="E34" s="1" t="s">
        <v>17</v>
      </c>
      <c r="F34" s="1"/>
      <c r="G34" s="1" t="b">
        <v>0</v>
      </c>
      <c r="H34" s="1" t="b">
        <v>0</v>
      </c>
      <c r="I34" s="1"/>
      <c r="J34" s="2"/>
      <c r="K34" s="17" t="b">
        <v>0</v>
      </c>
      <c r="L34" s="1"/>
      <c r="M34" s="1"/>
      <c r="N34" s="1"/>
      <c r="O34" s="1"/>
    </row>
    <row r="35" spans="1:15" ht="15.75" customHeight="1" x14ac:dyDescent="0.35">
      <c r="A35" s="3" t="s">
        <v>43</v>
      </c>
      <c r="B35" s="1" t="s">
        <v>44</v>
      </c>
      <c r="C35" s="1" t="s">
        <v>45</v>
      </c>
      <c r="D35" s="1" t="s">
        <v>18</v>
      </c>
      <c r="E35" s="1" t="s">
        <v>17</v>
      </c>
      <c r="F35" s="1"/>
      <c r="G35" s="1" t="b">
        <v>0</v>
      </c>
      <c r="H35" s="1" t="b">
        <v>0</v>
      </c>
      <c r="I35" s="3"/>
      <c r="J35" s="2"/>
      <c r="K35" s="17" t="b">
        <v>0</v>
      </c>
      <c r="L35" s="1"/>
      <c r="M35" s="1"/>
      <c r="N35" s="1"/>
      <c r="O35" s="1"/>
    </row>
    <row r="36" spans="1:15" ht="15.75" customHeight="1" x14ac:dyDescent="0.35">
      <c r="A36" s="3" t="s">
        <v>46</v>
      </c>
      <c r="B36" s="1" t="s">
        <v>47</v>
      </c>
      <c r="C36" s="1" t="s">
        <v>48</v>
      </c>
      <c r="D36" s="1" t="s">
        <v>18</v>
      </c>
      <c r="E36" s="1" t="s">
        <v>17</v>
      </c>
      <c r="F36" s="1"/>
      <c r="G36" s="1" t="b">
        <v>0</v>
      </c>
      <c r="H36" s="1" t="b">
        <v>0</v>
      </c>
      <c r="I36" s="3"/>
      <c r="J36" s="2"/>
      <c r="K36" s="17" t="b">
        <v>0</v>
      </c>
      <c r="L36" s="1"/>
      <c r="M36" s="1"/>
      <c r="N36" s="1"/>
      <c r="O36" s="1"/>
    </row>
    <row r="37" spans="1:15" ht="15.75" customHeight="1" x14ac:dyDescent="0.35">
      <c r="A37" s="1" t="s">
        <v>49</v>
      </c>
      <c r="B37" s="1" t="s">
        <v>50</v>
      </c>
      <c r="C37" s="1" t="s">
        <v>51</v>
      </c>
      <c r="D37" s="1" t="s">
        <v>18</v>
      </c>
      <c r="E37" s="1" t="s">
        <v>17</v>
      </c>
      <c r="F37" s="1"/>
      <c r="G37" s="1" t="b">
        <v>0</v>
      </c>
      <c r="H37" s="1" t="b">
        <v>0</v>
      </c>
      <c r="I37" s="1"/>
      <c r="J37" s="2"/>
      <c r="K37" s="17" t="b">
        <v>0</v>
      </c>
      <c r="L37" s="1"/>
      <c r="M37" s="1"/>
      <c r="N37" s="1"/>
      <c r="O37" s="1"/>
    </row>
    <row r="38" spans="1:15" ht="15.75" customHeight="1" x14ac:dyDescent="0.35">
      <c r="A38" s="1" t="s">
        <v>52</v>
      </c>
      <c r="B38" s="1" t="s">
        <v>53</v>
      </c>
      <c r="C38" s="1" t="s">
        <v>54</v>
      </c>
      <c r="D38" s="1" t="s">
        <v>18</v>
      </c>
      <c r="E38" s="1" t="s">
        <v>17</v>
      </c>
      <c r="F38" s="1" t="s">
        <v>55</v>
      </c>
      <c r="G38" s="1" t="b">
        <v>0</v>
      </c>
      <c r="H38" s="1" t="b">
        <v>0</v>
      </c>
      <c r="I38" s="1"/>
      <c r="J38" s="2"/>
      <c r="K38" s="17" t="b">
        <v>0</v>
      </c>
      <c r="L38" s="1"/>
      <c r="M38" s="1"/>
      <c r="N38" s="1"/>
      <c r="O38" s="1"/>
    </row>
    <row r="39" spans="1:15" ht="15.75" customHeight="1" x14ac:dyDescent="0.35">
      <c r="A39" s="1" t="s">
        <v>56</v>
      </c>
      <c r="B39" s="1" t="s">
        <v>57</v>
      </c>
      <c r="C39" s="1" t="s">
        <v>58</v>
      </c>
      <c r="D39" s="1" t="s">
        <v>18</v>
      </c>
      <c r="E39" s="1" t="s">
        <v>17</v>
      </c>
      <c r="F39" s="1" t="s">
        <v>55</v>
      </c>
      <c r="G39" s="1" t="b">
        <v>0</v>
      </c>
      <c r="H39" s="1" t="b">
        <v>0</v>
      </c>
      <c r="I39" s="1"/>
      <c r="J39" s="2"/>
      <c r="K39" s="17" t="b">
        <v>0</v>
      </c>
      <c r="L39" s="1"/>
      <c r="M39" s="1"/>
      <c r="N39" s="1"/>
      <c r="O39" s="1"/>
    </row>
    <row r="40" spans="1:15" ht="15.75" customHeight="1" x14ac:dyDescent="0.35">
      <c r="A40" s="3" t="s">
        <v>59</v>
      </c>
      <c r="B40" s="1" t="s">
        <v>60</v>
      </c>
      <c r="C40" s="1" t="s">
        <v>61</v>
      </c>
      <c r="D40" s="1" t="s">
        <v>62</v>
      </c>
      <c r="E40" s="1" t="s">
        <v>17</v>
      </c>
      <c r="F40" s="1"/>
      <c r="G40" s="1" t="b">
        <v>0</v>
      </c>
      <c r="H40" s="1" t="b">
        <v>0</v>
      </c>
      <c r="I40" s="3"/>
      <c r="J40" s="2"/>
      <c r="K40" s="17" t="b">
        <v>0</v>
      </c>
      <c r="L40" s="1"/>
      <c r="M40" s="1"/>
      <c r="N40" s="1"/>
      <c r="O40" s="1"/>
    </row>
    <row r="41" spans="1:15" ht="15.75" customHeight="1" x14ac:dyDescent="0.35">
      <c r="A41" s="1" t="s">
        <v>63</v>
      </c>
      <c r="B41" s="1" t="s">
        <v>64</v>
      </c>
      <c r="C41" s="1" t="s">
        <v>65</v>
      </c>
      <c r="D41" s="1" t="s">
        <v>62</v>
      </c>
      <c r="E41" s="1" t="s">
        <v>17</v>
      </c>
      <c r="F41" s="1"/>
      <c r="G41" s="1" t="b">
        <v>0</v>
      </c>
      <c r="H41" s="1" t="b">
        <v>0</v>
      </c>
      <c r="I41" s="1"/>
      <c r="J41" s="2"/>
      <c r="K41" s="17" t="b">
        <v>0</v>
      </c>
      <c r="L41" s="1"/>
      <c r="M41" s="1"/>
      <c r="N41" s="1"/>
      <c r="O41" s="1"/>
    </row>
    <row r="42" spans="1:15" ht="15.75" customHeight="1" x14ac:dyDescent="0.35">
      <c r="A42" s="1" t="s">
        <v>66</v>
      </c>
      <c r="B42" s="1" t="s">
        <v>67</v>
      </c>
      <c r="C42" s="1" t="s">
        <v>68</v>
      </c>
      <c r="D42" s="1" t="s">
        <v>62</v>
      </c>
      <c r="E42" s="1" t="s">
        <v>17</v>
      </c>
      <c r="F42" s="1"/>
      <c r="G42" s="1" t="b">
        <v>0</v>
      </c>
      <c r="H42" s="1" t="b">
        <v>0</v>
      </c>
      <c r="I42" s="1"/>
      <c r="J42" s="2"/>
      <c r="K42" s="17" t="b">
        <v>0</v>
      </c>
      <c r="L42" s="1"/>
      <c r="M42" s="1"/>
      <c r="N42" s="1"/>
      <c r="O42" s="1"/>
    </row>
    <row r="43" spans="1:15" ht="15.75" customHeight="1" x14ac:dyDescent="0.35">
      <c r="A43" s="3" t="s">
        <v>69</v>
      </c>
      <c r="B43" s="1" t="s">
        <v>70</v>
      </c>
      <c r="C43" s="1" t="s">
        <v>71</v>
      </c>
      <c r="D43" s="1" t="s">
        <v>62</v>
      </c>
      <c r="E43" s="1" t="s">
        <v>17</v>
      </c>
      <c r="F43" s="1"/>
      <c r="G43" s="1" t="b">
        <v>0</v>
      </c>
      <c r="H43" s="1" t="b">
        <v>0</v>
      </c>
      <c r="I43" s="3"/>
      <c r="J43" s="2"/>
      <c r="K43" s="17" t="b">
        <v>0</v>
      </c>
      <c r="L43" s="1"/>
      <c r="M43" s="1"/>
      <c r="N43" s="1"/>
      <c r="O43" s="1"/>
    </row>
    <row r="44" spans="1:15" ht="15.75" customHeight="1" x14ac:dyDescent="0.35">
      <c r="A44" s="2" t="s">
        <v>72</v>
      </c>
      <c r="B44" s="2" t="s">
        <v>73</v>
      </c>
      <c r="C44" s="2" t="s">
        <v>74</v>
      </c>
      <c r="D44" s="1" t="s">
        <v>62</v>
      </c>
      <c r="E44" s="2" t="s">
        <v>17</v>
      </c>
      <c r="F44" s="2" t="s">
        <v>72</v>
      </c>
      <c r="G44" s="1" t="b">
        <v>0</v>
      </c>
      <c r="H44" s="1" t="b">
        <v>0</v>
      </c>
      <c r="I44" s="2"/>
      <c r="J44" s="2"/>
      <c r="K44" s="21" t="b">
        <v>0</v>
      </c>
      <c r="L44" s="1"/>
      <c r="M44" s="1"/>
      <c r="N44" s="1"/>
      <c r="O44" s="1"/>
    </row>
    <row r="45" spans="1:15" ht="15.75" customHeight="1" x14ac:dyDescent="0.35">
      <c r="A45" s="2" t="s">
        <v>75</v>
      </c>
      <c r="B45" s="2" t="s">
        <v>76</v>
      </c>
      <c r="C45" s="2" t="s">
        <v>77</v>
      </c>
      <c r="D45" s="1" t="s">
        <v>62</v>
      </c>
      <c r="E45" s="2" t="s">
        <v>17</v>
      </c>
      <c r="F45" s="2" t="s">
        <v>72</v>
      </c>
      <c r="G45" s="1" t="b">
        <v>0</v>
      </c>
      <c r="H45" s="1" t="b">
        <v>0</v>
      </c>
      <c r="I45" s="2"/>
      <c r="J45" s="2"/>
      <c r="K45" s="21" t="b">
        <v>0</v>
      </c>
      <c r="L45" s="1"/>
      <c r="M45" s="1"/>
      <c r="N45" s="1"/>
      <c r="O45" s="1"/>
    </row>
    <row r="46" spans="1:15" ht="15.75" customHeight="1" x14ac:dyDescent="0.35">
      <c r="A46" s="1" t="s">
        <v>78</v>
      </c>
      <c r="B46" s="1" t="s">
        <v>79</v>
      </c>
      <c r="C46" s="1" t="s">
        <v>80</v>
      </c>
      <c r="D46" s="1" t="s">
        <v>62</v>
      </c>
      <c r="E46" s="1" t="s">
        <v>17</v>
      </c>
      <c r="F46" s="1"/>
      <c r="G46" s="1" t="b">
        <v>0</v>
      </c>
      <c r="H46" s="1" t="b">
        <v>0</v>
      </c>
      <c r="I46" s="1"/>
      <c r="J46" s="2"/>
      <c r="K46" s="17" t="b">
        <v>0</v>
      </c>
      <c r="L46" s="1"/>
      <c r="M46" s="1"/>
      <c r="N46" s="1"/>
      <c r="O46" s="1"/>
    </row>
    <row r="47" spans="1:15" ht="15.75" customHeight="1" x14ac:dyDescent="0.35">
      <c r="A47" s="1" t="s">
        <v>81</v>
      </c>
      <c r="B47" s="1" t="s">
        <v>82</v>
      </c>
      <c r="C47" s="1" t="s">
        <v>83</v>
      </c>
      <c r="D47" s="1" t="s">
        <v>62</v>
      </c>
      <c r="E47" s="1" t="s">
        <v>17</v>
      </c>
      <c r="F47" s="1" t="s">
        <v>84</v>
      </c>
      <c r="G47" s="1" t="b">
        <v>0</v>
      </c>
      <c r="H47" s="1" t="b">
        <v>0</v>
      </c>
      <c r="I47" s="1"/>
      <c r="J47" s="2"/>
      <c r="K47" s="17" t="b">
        <v>0</v>
      </c>
      <c r="L47" s="1"/>
      <c r="M47" s="1"/>
      <c r="N47" s="1"/>
      <c r="O47" s="1"/>
    </row>
    <row r="48" spans="1:15" ht="15.75" customHeight="1" x14ac:dyDescent="0.35">
      <c r="A48" s="1" t="s">
        <v>85</v>
      </c>
      <c r="B48" s="1" t="s">
        <v>86</v>
      </c>
      <c r="C48" s="7" t="s">
        <v>87</v>
      </c>
      <c r="D48" s="1" t="s">
        <v>62</v>
      </c>
      <c r="E48" s="1" t="s">
        <v>17</v>
      </c>
      <c r="F48" s="1" t="s">
        <v>84</v>
      </c>
      <c r="G48" s="1" t="b">
        <v>0</v>
      </c>
      <c r="H48" s="1" t="b">
        <v>0</v>
      </c>
      <c r="I48" s="1"/>
      <c r="J48" s="2"/>
      <c r="K48" s="17" t="b">
        <v>0</v>
      </c>
      <c r="L48" s="1"/>
      <c r="M48" s="1"/>
      <c r="N48" s="1"/>
      <c r="O48" s="1"/>
    </row>
    <row r="49" spans="1:15" ht="15.75" customHeight="1" x14ac:dyDescent="0.35">
      <c r="A49" s="1" t="s">
        <v>88</v>
      </c>
      <c r="B49" s="1" t="s">
        <v>89</v>
      </c>
      <c r="C49" s="1" t="s">
        <v>90</v>
      </c>
      <c r="D49" s="1" t="s">
        <v>62</v>
      </c>
      <c r="E49" s="1" t="s">
        <v>17</v>
      </c>
      <c r="F49" s="1"/>
      <c r="G49" s="1" t="b">
        <v>0</v>
      </c>
      <c r="H49" s="1" t="b">
        <v>0</v>
      </c>
      <c r="I49" s="1"/>
      <c r="J49" s="2"/>
      <c r="K49" s="17" t="b">
        <v>0</v>
      </c>
      <c r="L49" s="1"/>
      <c r="M49" s="1"/>
      <c r="N49" s="1"/>
      <c r="O49" s="1"/>
    </row>
    <row r="50" spans="1:15" ht="15.75" customHeight="1" x14ac:dyDescent="0.35">
      <c r="A50" s="1" t="s">
        <v>91</v>
      </c>
      <c r="B50" s="1" t="s">
        <v>92</v>
      </c>
      <c r="C50" s="1" t="s">
        <v>93</v>
      </c>
      <c r="D50" s="1" t="s">
        <v>62</v>
      </c>
      <c r="E50" s="1" t="s">
        <v>17</v>
      </c>
      <c r="F50" s="1"/>
      <c r="G50" s="1" t="b">
        <v>0</v>
      </c>
      <c r="H50" s="1" t="b">
        <v>0</v>
      </c>
      <c r="I50" s="1"/>
      <c r="J50" s="2"/>
      <c r="K50" s="17" t="b">
        <v>0</v>
      </c>
      <c r="L50" s="1"/>
      <c r="M50" s="1"/>
      <c r="N50" s="1"/>
      <c r="O50" s="1"/>
    </row>
    <row r="51" spans="1:15" ht="15.75" customHeight="1" x14ac:dyDescent="0.35">
      <c r="A51" s="1" t="s">
        <v>94</v>
      </c>
      <c r="B51" s="1" t="s">
        <v>95</v>
      </c>
      <c r="C51" s="1" t="s">
        <v>96</v>
      </c>
      <c r="D51" s="1" t="s">
        <v>62</v>
      </c>
      <c r="E51" s="1" t="s">
        <v>17</v>
      </c>
      <c r="F51" s="1"/>
      <c r="G51" s="1" t="b">
        <v>0</v>
      </c>
      <c r="H51" s="1" t="b">
        <v>0</v>
      </c>
      <c r="I51" s="1"/>
      <c r="J51" s="2"/>
      <c r="K51" s="17" t="b">
        <v>0</v>
      </c>
      <c r="L51" s="1"/>
      <c r="M51" s="1"/>
      <c r="N51" s="1"/>
      <c r="O51" s="1"/>
    </row>
    <row r="52" spans="1:15" ht="15.75" customHeight="1" x14ac:dyDescent="0.35">
      <c r="A52" s="1" t="s">
        <v>97</v>
      </c>
      <c r="B52" s="1" t="s">
        <v>98</v>
      </c>
      <c r="C52" s="1" t="s">
        <v>99</v>
      </c>
      <c r="D52" s="1" t="s">
        <v>100</v>
      </c>
      <c r="E52" s="1" t="s">
        <v>15</v>
      </c>
      <c r="F52" s="1"/>
      <c r="G52" s="1" t="b">
        <v>0</v>
      </c>
      <c r="H52" s="1" t="b">
        <v>0</v>
      </c>
      <c r="I52" s="1"/>
      <c r="J52" s="2"/>
      <c r="K52" s="17" t="b">
        <v>0</v>
      </c>
      <c r="L52" s="1"/>
      <c r="M52" s="1"/>
      <c r="N52" s="1"/>
      <c r="O52" s="1"/>
    </row>
    <row r="53" spans="1:15" ht="15.75" customHeight="1" x14ac:dyDescent="0.35">
      <c r="A53" s="1" t="s">
        <v>101</v>
      </c>
      <c r="B53" s="1" t="s">
        <v>102</v>
      </c>
      <c r="C53" s="1" t="s">
        <v>103</v>
      </c>
      <c r="D53" s="1" t="s">
        <v>100</v>
      </c>
      <c r="E53" s="1" t="s">
        <v>17</v>
      </c>
      <c r="F53" s="1"/>
      <c r="G53" s="1" t="b">
        <v>0</v>
      </c>
      <c r="H53" s="1" t="b">
        <v>0</v>
      </c>
      <c r="I53" s="1"/>
      <c r="J53" s="2"/>
      <c r="K53" s="17" t="b">
        <v>1</v>
      </c>
      <c r="L53" s="1"/>
      <c r="M53" s="1"/>
      <c r="N53" s="1"/>
      <c r="O53" s="1"/>
    </row>
    <row r="54" spans="1:15" ht="15.75" customHeight="1" x14ac:dyDescent="0.35">
      <c r="A54" s="1" t="s">
        <v>104</v>
      </c>
      <c r="B54" s="1" t="s">
        <v>105</v>
      </c>
      <c r="C54" s="1" t="s">
        <v>106</v>
      </c>
      <c r="D54" s="1" t="s">
        <v>100</v>
      </c>
      <c r="E54" s="1" t="s">
        <v>17</v>
      </c>
      <c r="F54" s="1" t="s">
        <v>107</v>
      </c>
      <c r="G54" s="1" t="b">
        <v>0</v>
      </c>
      <c r="H54" s="1" t="b">
        <v>0</v>
      </c>
      <c r="I54" s="1"/>
      <c r="J54" s="5"/>
      <c r="K54" s="17" t="b">
        <v>1</v>
      </c>
      <c r="L54" s="1"/>
      <c r="M54" s="1"/>
      <c r="N54" s="1"/>
      <c r="O54" s="1"/>
    </row>
    <row r="55" spans="1:15" ht="15.75" customHeight="1" x14ac:dyDescent="0.35">
      <c r="A55" s="1" t="s">
        <v>108</v>
      </c>
      <c r="B55" s="1" t="s">
        <v>109</v>
      </c>
      <c r="C55" s="1" t="s">
        <v>110</v>
      </c>
      <c r="D55" s="1" t="s">
        <v>100</v>
      </c>
      <c r="E55" s="1" t="s">
        <v>17</v>
      </c>
      <c r="F55" s="1" t="s">
        <v>107</v>
      </c>
      <c r="G55" s="1" t="b">
        <v>0</v>
      </c>
      <c r="H55" s="1" t="b">
        <v>0</v>
      </c>
      <c r="I55" s="1"/>
      <c r="J55" s="8"/>
      <c r="K55" s="17" t="b">
        <v>1</v>
      </c>
      <c r="L55" s="1"/>
      <c r="M55" s="1"/>
      <c r="N55" s="1"/>
      <c r="O55" s="1"/>
    </row>
    <row r="56" spans="1:15" ht="15.75" customHeight="1" x14ac:dyDescent="0.35">
      <c r="A56" s="1" t="s">
        <v>111</v>
      </c>
      <c r="B56" s="1" t="s">
        <v>112</v>
      </c>
      <c r="C56" s="1" t="s">
        <v>113</v>
      </c>
      <c r="D56" s="1" t="s">
        <v>100</v>
      </c>
      <c r="E56" s="1" t="s">
        <v>17</v>
      </c>
      <c r="F56" s="1" t="s">
        <v>107</v>
      </c>
      <c r="G56" s="1" t="b">
        <v>0</v>
      </c>
      <c r="H56" s="1" t="b">
        <v>0</v>
      </c>
      <c r="I56" s="1"/>
      <c r="J56" s="6"/>
      <c r="K56" s="17" t="b">
        <v>1</v>
      </c>
      <c r="L56" s="1"/>
      <c r="M56" s="1"/>
      <c r="N56" s="1"/>
      <c r="O56" s="1"/>
    </row>
    <row r="57" spans="1:15" ht="15.75" customHeight="1" x14ac:dyDescent="0.35">
      <c r="A57" s="3" t="s">
        <v>114</v>
      </c>
      <c r="B57" s="2" t="s">
        <v>115</v>
      </c>
      <c r="C57" s="1" t="s">
        <v>116</v>
      </c>
      <c r="D57" s="1" t="s">
        <v>100</v>
      </c>
      <c r="E57" s="1" t="s">
        <v>17</v>
      </c>
      <c r="F57" s="1"/>
      <c r="G57" s="1" t="b">
        <v>0</v>
      </c>
      <c r="H57" s="1" t="b">
        <v>0</v>
      </c>
      <c r="I57" s="3"/>
      <c r="J57" s="2"/>
      <c r="K57" s="17" t="b">
        <v>0</v>
      </c>
      <c r="L57" s="1"/>
      <c r="M57" s="1"/>
      <c r="N57" s="1"/>
      <c r="O57" s="1"/>
    </row>
    <row r="58" spans="1:15" ht="15.75" customHeight="1" x14ac:dyDescent="0.35">
      <c r="A58" s="3" t="s">
        <v>117</v>
      </c>
      <c r="B58" s="2" t="s">
        <v>118</v>
      </c>
      <c r="C58" s="1" t="s">
        <v>119</v>
      </c>
      <c r="D58" s="1" t="s">
        <v>100</v>
      </c>
      <c r="E58" s="1" t="s">
        <v>17</v>
      </c>
      <c r="F58" s="1"/>
      <c r="G58" s="1" t="b">
        <v>0</v>
      </c>
      <c r="H58" s="1" t="b">
        <v>0</v>
      </c>
      <c r="I58" s="3"/>
      <c r="J58" s="2"/>
      <c r="K58" s="17" t="b">
        <v>0</v>
      </c>
      <c r="L58" s="1"/>
      <c r="M58" s="1"/>
      <c r="N58" s="1"/>
      <c r="O58" s="1"/>
    </row>
    <row r="59" spans="1:15" ht="15.75" customHeight="1" x14ac:dyDescent="0.35">
      <c r="A59" s="1" t="s">
        <v>120</v>
      </c>
      <c r="B59" s="1" t="s">
        <v>121</v>
      </c>
      <c r="C59" s="1" t="s">
        <v>122</v>
      </c>
      <c r="D59" s="1" t="s">
        <v>100</v>
      </c>
      <c r="E59" s="1" t="s">
        <v>17</v>
      </c>
      <c r="F59" s="1"/>
      <c r="G59" s="1" t="b">
        <v>0</v>
      </c>
      <c r="H59" s="1" t="b">
        <v>0</v>
      </c>
      <c r="I59" s="1"/>
      <c r="J59" s="2"/>
      <c r="K59" s="17" t="b">
        <v>0</v>
      </c>
      <c r="L59" s="1"/>
      <c r="M59" s="1"/>
      <c r="N59" s="1"/>
      <c r="O59" s="1"/>
    </row>
    <row r="60" spans="1:15" ht="15.75" customHeight="1" x14ac:dyDescent="0.35">
      <c r="A60" s="1" t="s">
        <v>123</v>
      </c>
      <c r="B60" s="1" t="s">
        <v>124</v>
      </c>
      <c r="C60" s="1" t="s">
        <v>125</v>
      </c>
      <c r="D60" s="1" t="s">
        <v>100</v>
      </c>
      <c r="E60" s="1" t="s">
        <v>17</v>
      </c>
      <c r="F60" s="1"/>
      <c r="G60" s="1" t="b">
        <v>0</v>
      </c>
      <c r="H60" s="1" t="b">
        <v>0</v>
      </c>
      <c r="I60" s="1"/>
      <c r="J60" s="2"/>
      <c r="K60" s="17" t="b">
        <v>0</v>
      </c>
      <c r="L60" s="1"/>
      <c r="M60" s="1"/>
      <c r="N60" s="1"/>
      <c r="O60" s="1"/>
    </row>
    <row r="61" spans="1:15" ht="15.75" customHeight="1" x14ac:dyDescent="0.35">
      <c r="A61" s="1" t="s">
        <v>126</v>
      </c>
      <c r="B61" s="1" t="s">
        <v>127</v>
      </c>
      <c r="C61" s="1" t="s">
        <v>128</v>
      </c>
      <c r="D61" s="1" t="s">
        <v>100</v>
      </c>
      <c r="E61" s="1" t="s">
        <v>17</v>
      </c>
      <c r="F61" s="1"/>
      <c r="G61" s="1" t="b">
        <v>0</v>
      </c>
      <c r="H61" s="1" t="b">
        <v>0</v>
      </c>
      <c r="I61" s="1"/>
      <c r="J61" s="2"/>
      <c r="K61" s="17" t="b">
        <v>1</v>
      </c>
      <c r="L61" s="1"/>
      <c r="M61" s="1"/>
      <c r="N61" s="1"/>
      <c r="O61" s="1"/>
    </row>
    <row r="62" spans="1:15" ht="15.75" customHeight="1" x14ac:dyDescent="0.35">
      <c r="A62" s="1" t="s">
        <v>129</v>
      </c>
      <c r="B62" s="1" t="s">
        <v>130</v>
      </c>
      <c r="C62" s="1" t="s">
        <v>131</v>
      </c>
      <c r="D62" s="1" t="s">
        <v>100</v>
      </c>
      <c r="E62" s="1" t="s">
        <v>17</v>
      </c>
      <c r="F62" s="1"/>
      <c r="G62" s="1" t="b">
        <v>0</v>
      </c>
      <c r="H62" s="1" t="b">
        <v>0</v>
      </c>
      <c r="I62" s="1"/>
      <c r="J62" s="2"/>
      <c r="K62" s="17" t="b">
        <v>0</v>
      </c>
      <c r="L62" s="1"/>
      <c r="M62" s="1"/>
      <c r="N62" s="1"/>
      <c r="O62" s="1"/>
    </row>
    <row r="63" spans="1:15" ht="15.75" customHeight="1" x14ac:dyDescent="0.35">
      <c r="A63" s="1" t="s">
        <v>132</v>
      </c>
      <c r="B63" s="1" t="s">
        <v>133</v>
      </c>
      <c r="C63" s="1" t="s">
        <v>134</v>
      </c>
      <c r="D63" s="1" t="s">
        <v>135</v>
      </c>
      <c r="E63" s="1" t="s">
        <v>15</v>
      </c>
      <c r="F63" s="1" t="s">
        <v>136</v>
      </c>
      <c r="G63" s="1" t="b">
        <v>0</v>
      </c>
      <c r="H63" s="1" t="b">
        <v>0</v>
      </c>
      <c r="I63" s="1"/>
      <c r="J63" s="2"/>
      <c r="K63" s="17" t="b">
        <v>0</v>
      </c>
      <c r="L63" s="1"/>
      <c r="M63" s="1"/>
      <c r="N63" s="1"/>
      <c r="O63" s="1"/>
    </row>
    <row r="64" spans="1:15" ht="15.75" customHeight="1" x14ac:dyDescent="0.35">
      <c r="A64" s="9" t="s">
        <v>137</v>
      </c>
      <c r="B64" s="1" t="s">
        <v>138</v>
      </c>
      <c r="C64" s="1" t="s">
        <v>139</v>
      </c>
      <c r="D64" s="1" t="s">
        <v>135</v>
      </c>
      <c r="E64" s="1" t="s">
        <v>15</v>
      </c>
      <c r="F64" s="1" t="s">
        <v>136</v>
      </c>
      <c r="G64" s="1" t="b">
        <v>0</v>
      </c>
      <c r="H64" s="1" t="b">
        <v>0</v>
      </c>
      <c r="I64" s="1"/>
      <c r="J64" s="2"/>
      <c r="K64" s="17" t="b">
        <v>0</v>
      </c>
      <c r="L64" s="1"/>
      <c r="M64" s="1"/>
      <c r="N64" s="1"/>
      <c r="O64" s="1"/>
    </row>
    <row r="65" spans="1:15" ht="15.75" customHeight="1" x14ac:dyDescent="0.35">
      <c r="A65" s="3" t="s">
        <v>140</v>
      </c>
      <c r="B65" s="1" t="s">
        <v>141</v>
      </c>
      <c r="C65" s="1" t="s">
        <v>142</v>
      </c>
      <c r="D65" s="1" t="s">
        <v>143</v>
      </c>
      <c r="E65" s="1" t="s">
        <v>15</v>
      </c>
      <c r="F65" s="1"/>
      <c r="G65" s="1" t="b">
        <v>0</v>
      </c>
      <c r="H65" s="1" t="b">
        <v>0</v>
      </c>
      <c r="I65" s="3"/>
      <c r="J65" s="2"/>
      <c r="K65" s="17" t="b">
        <v>0</v>
      </c>
      <c r="L65" s="1"/>
      <c r="M65" s="1"/>
      <c r="N65" s="23" t="s">
        <v>454</v>
      </c>
      <c r="O65" s="23" t="s">
        <v>454</v>
      </c>
    </row>
    <row r="66" spans="1:15" ht="15.75" customHeight="1" x14ac:dyDescent="0.35">
      <c r="A66" s="1" t="s">
        <v>144</v>
      </c>
      <c r="B66" s="1" t="s">
        <v>145</v>
      </c>
      <c r="C66" s="1" t="s">
        <v>146</v>
      </c>
      <c r="D66" s="1" t="s">
        <v>143</v>
      </c>
      <c r="E66" s="1" t="s">
        <v>17</v>
      </c>
      <c r="F66" s="1"/>
      <c r="G66" s="1" t="b">
        <v>0</v>
      </c>
      <c r="H66" s="1" t="b">
        <v>0</v>
      </c>
      <c r="I66" s="1"/>
      <c r="J66" s="2"/>
      <c r="K66" s="17" t="b">
        <v>0</v>
      </c>
      <c r="L66" s="1"/>
      <c r="M66" s="1"/>
      <c r="N66" s="23" t="s">
        <v>454</v>
      </c>
      <c r="O66" s="23" t="s">
        <v>454</v>
      </c>
    </row>
    <row r="67" spans="1:15" ht="15.75" customHeight="1" x14ac:dyDescent="0.35">
      <c r="A67" s="1" t="s">
        <v>147</v>
      </c>
      <c r="B67" s="1" t="s">
        <v>148</v>
      </c>
      <c r="C67" s="1" t="s">
        <v>149</v>
      </c>
      <c r="D67" s="1" t="s">
        <v>143</v>
      </c>
      <c r="E67" s="1" t="s">
        <v>17</v>
      </c>
      <c r="F67" s="1"/>
      <c r="G67" s="1" t="b">
        <v>0</v>
      </c>
      <c r="H67" s="1" t="b">
        <v>0</v>
      </c>
      <c r="I67" s="1"/>
      <c r="J67" s="2"/>
      <c r="K67" s="17" t="b">
        <v>0</v>
      </c>
      <c r="L67" s="1"/>
      <c r="M67" s="1"/>
      <c r="N67" s="23" t="s">
        <v>454</v>
      </c>
      <c r="O67" s="23" t="s">
        <v>454</v>
      </c>
    </row>
    <row r="68" spans="1:15" ht="15.75" customHeight="1" x14ac:dyDescent="0.35">
      <c r="A68" s="1" t="s">
        <v>150</v>
      </c>
      <c r="B68" s="1" t="s">
        <v>151</v>
      </c>
      <c r="C68" s="1" t="s">
        <v>152</v>
      </c>
      <c r="D68" s="1" t="s">
        <v>143</v>
      </c>
      <c r="E68" s="1" t="s">
        <v>17</v>
      </c>
      <c r="F68" s="1"/>
      <c r="G68" s="1" t="b">
        <v>0</v>
      </c>
      <c r="H68" s="1" t="b">
        <v>0</v>
      </c>
      <c r="I68" s="1"/>
      <c r="J68" s="2"/>
      <c r="K68" s="17" t="b">
        <v>0</v>
      </c>
      <c r="L68" s="1"/>
      <c r="M68" s="1"/>
      <c r="N68" s="23" t="s">
        <v>454</v>
      </c>
      <c r="O68" s="23" t="s">
        <v>454</v>
      </c>
    </row>
    <row r="69" spans="1:15" ht="15.75" customHeight="1" x14ac:dyDescent="0.35">
      <c r="A69" s="3" t="s">
        <v>153</v>
      </c>
      <c r="B69" s="1" t="s">
        <v>154</v>
      </c>
      <c r="C69" s="1" t="s">
        <v>155</v>
      </c>
      <c r="D69" s="1" t="s">
        <v>143</v>
      </c>
      <c r="E69" s="1" t="s">
        <v>17</v>
      </c>
      <c r="F69" s="1"/>
      <c r="G69" s="1" t="b">
        <v>0</v>
      </c>
      <c r="H69" s="1" t="b">
        <v>0</v>
      </c>
      <c r="I69" s="3"/>
      <c r="J69" s="2"/>
      <c r="K69" s="17" t="b">
        <v>0</v>
      </c>
      <c r="L69" s="1"/>
      <c r="M69" s="1"/>
      <c r="N69" s="1"/>
      <c r="O69" s="1"/>
    </row>
    <row r="70" spans="1:15" ht="15.75" customHeight="1" x14ac:dyDescent="0.35">
      <c r="A70" s="1" t="s">
        <v>156</v>
      </c>
      <c r="B70" s="1" t="s">
        <v>157</v>
      </c>
      <c r="C70" s="1" t="s">
        <v>158</v>
      </c>
      <c r="D70" s="1" t="s">
        <v>143</v>
      </c>
      <c r="E70" s="1" t="s">
        <v>17</v>
      </c>
      <c r="F70" s="1"/>
      <c r="G70" s="1" t="b">
        <v>0</v>
      </c>
      <c r="H70" s="1" t="b">
        <v>0</v>
      </c>
      <c r="I70" s="1"/>
      <c r="J70" s="2"/>
      <c r="K70" s="17" t="b">
        <v>0</v>
      </c>
      <c r="L70" s="1"/>
      <c r="M70" s="1"/>
      <c r="N70" s="1"/>
      <c r="O70" s="1"/>
    </row>
    <row r="71" spans="1:15" ht="15.75" customHeight="1" x14ac:dyDescent="0.35">
      <c r="A71" s="1" t="s">
        <v>159</v>
      </c>
      <c r="B71" s="1" t="s">
        <v>160</v>
      </c>
      <c r="C71" s="1" t="s">
        <v>161</v>
      </c>
      <c r="D71" s="1" t="s">
        <v>143</v>
      </c>
      <c r="E71" s="1" t="s">
        <v>17</v>
      </c>
      <c r="F71" s="1"/>
      <c r="G71" s="1" t="b">
        <v>0</v>
      </c>
      <c r="H71" s="1" t="b">
        <v>0</v>
      </c>
      <c r="I71" s="1"/>
      <c r="J71" s="2"/>
      <c r="K71" s="17" t="b">
        <v>0</v>
      </c>
      <c r="L71" s="1"/>
      <c r="M71" s="1"/>
      <c r="N71" s="1"/>
      <c r="O71" s="1"/>
    </row>
    <row r="72" spans="1:15" ht="15.75" customHeight="1" x14ac:dyDescent="0.35">
      <c r="A72" s="1" t="s">
        <v>162</v>
      </c>
      <c r="B72" s="1" t="s">
        <v>163</v>
      </c>
      <c r="C72" s="1" t="s">
        <v>164</v>
      </c>
      <c r="D72" s="1" t="s">
        <v>143</v>
      </c>
      <c r="E72" s="1" t="s">
        <v>17</v>
      </c>
      <c r="F72" s="2" t="s">
        <v>165</v>
      </c>
      <c r="G72" s="1" t="b">
        <v>0</v>
      </c>
      <c r="H72" s="1" t="b">
        <v>0</v>
      </c>
      <c r="I72" s="1"/>
      <c r="J72" s="5"/>
      <c r="K72" s="17" t="b">
        <v>0</v>
      </c>
      <c r="L72" s="1"/>
      <c r="M72" s="1"/>
      <c r="N72" s="1"/>
      <c r="O72" s="1"/>
    </row>
    <row r="73" spans="1:15" ht="15.75" customHeight="1" x14ac:dyDescent="0.35">
      <c r="A73" s="1" t="s">
        <v>166</v>
      </c>
      <c r="B73" s="1" t="s">
        <v>167</v>
      </c>
      <c r="C73" s="1" t="s">
        <v>168</v>
      </c>
      <c r="D73" s="1" t="s">
        <v>143</v>
      </c>
      <c r="E73" s="1" t="s">
        <v>17</v>
      </c>
      <c r="F73" s="2" t="s">
        <v>165</v>
      </c>
      <c r="G73" s="1" t="b">
        <v>0</v>
      </c>
      <c r="H73" s="1" t="b">
        <v>0</v>
      </c>
      <c r="I73" s="1"/>
      <c r="J73" s="5"/>
      <c r="K73" s="17" t="b">
        <v>0</v>
      </c>
      <c r="L73" s="1"/>
      <c r="M73" s="1"/>
      <c r="N73" s="1"/>
      <c r="O73" s="1"/>
    </row>
    <row r="74" spans="1:15" ht="15.75" customHeight="1" x14ac:dyDescent="0.35">
      <c r="A74" s="1" t="s">
        <v>169</v>
      </c>
      <c r="B74" s="1" t="s">
        <v>170</v>
      </c>
      <c r="C74" s="1" t="s">
        <v>171</v>
      </c>
      <c r="D74" s="1" t="s">
        <v>143</v>
      </c>
      <c r="E74" s="1" t="s">
        <v>17</v>
      </c>
      <c r="F74" s="2" t="s">
        <v>165</v>
      </c>
      <c r="G74" s="1" t="b">
        <v>0</v>
      </c>
      <c r="H74" s="1" t="b">
        <v>0</v>
      </c>
      <c r="I74" s="1"/>
      <c r="J74" s="5"/>
      <c r="K74" s="17" t="b">
        <v>0</v>
      </c>
      <c r="L74" s="1"/>
      <c r="M74" s="1"/>
      <c r="N74" s="1"/>
      <c r="O74" s="1"/>
    </row>
    <row r="75" spans="1:15" ht="15.75" customHeight="1" x14ac:dyDescent="0.35">
      <c r="A75" s="1" t="s">
        <v>172</v>
      </c>
      <c r="B75" s="1" t="s">
        <v>173</v>
      </c>
      <c r="C75" s="1" t="s">
        <v>174</v>
      </c>
      <c r="D75" s="1" t="s">
        <v>143</v>
      </c>
      <c r="E75" s="1" t="s">
        <v>17</v>
      </c>
      <c r="F75" s="2"/>
      <c r="G75" s="1" t="b">
        <v>0</v>
      </c>
      <c r="H75" s="1" t="b">
        <v>0</v>
      </c>
      <c r="I75" s="1"/>
      <c r="J75" s="5"/>
      <c r="K75" s="17" t="b">
        <v>0</v>
      </c>
      <c r="L75" s="1"/>
      <c r="M75" s="1"/>
      <c r="N75" s="1"/>
      <c r="O75" s="1"/>
    </row>
    <row r="76" spans="1:15" ht="15.75" customHeight="1" x14ac:dyDescent="0.35">
      <c r="A76" s="3" t="s">
        <v>175</v>
      </c>
      <c r="B76" s="1" t="s">
        <v>176</v>
      </c>
      <c r="C76" s="1" t="s">
        <v>177</v>
      </c>
      <c r="D76" s="1" t="s">
        <v>143</v>
      </c>
      <c r="E76" s="1" t="s">
        <v>17</v>
      </c>
      <c r="F76" s="1"/>
      <c r="G76" s="1" t="b">
        <v>0</v>
      </c>
      <c r="H76" s="1" t="b">
        <v>0</v>
      </c>
      <c r="I76" s="3"/>
      <c r="K76" s="17" t="b">
        <v>0</v>
      </c>
      <c r="L76" s="1"/>
      <c r="M76" s="1"/>
      <c r="N76" s="1"/>
      <c r="O76" s="1"/>
    </row>
    <row r="77" spans="1:15" ht="15.75" customHeight="1" x14ac:dyDescent="0.35">
      <c r="A77" s="1" t="s">
        <v>178</v>
      </c>
      <c r="B77" s="1" t="s">
        <v>179</v>
      </c>
      <c r="C77" s="1" t="s">
        <v>180</v>
      </c>
      <c r="D77" s="1" t="s">
        <v>181</v>
      </c>
      <c r="E77" s="1" t="s">
        <v>15</v>
      </c>
      <c r="F77" s="1"/>
      <c r="G77" s="1" t="b">
        <v>0</v>
      </c>
      <c r="H77" s="1" t="b">
        <v>0</v>
      </c>
      <c r="I77" s="1"/>
      <c r="J77" s="2"/>
      <c r="K77" s="17" t="b">
        <v>1</v>
      </c>
      <c r="L77" s="1"/>
      <c r="M77" s="1"/>
      <c r="N77" s="1"/>
      <c r="O77" s="1"/>
    </row>
    <row r="78" spans="1:15" ht="15.75" customHeight="1" x14ac:dyDescent="0.35">
      <c r="A78" s="1" t="s">
        <v>182</v>
      </c>
      <c r="B78" s="1" t="s">
        <v>183</v>
      </c>
      <c r="C78" s="1" t="s">
        <v>184</v>
      </c>
      <c r="D78" s="1" t="s">
        <v>181</v>
      </c>
      <c r="E78" s="1" t="s">
        <v>17</v>
      </c>
      <c r="F78" s="1"/>
      <c r="G78" s="1" t="b">
        <v>0</v>
      </c>
      <c r="H78" s="1" t="b">
        <v>0</v>
      </c>
      <c r="I78" s="1"/>
      <c r="J78" s="2"/>
      <c r="K78" s="17" t="b">
        <v>0</v>
      </c>
      <c r="L78" s="1"/>
      <c r="M78" s="1"/>
      <c r="N78" s="1"/>
      <c r="O78" s="1"/>
    </row>
    <row r="79" spans="1:15" ht="15.75" customHeight="1" x14ac:dyDescent="0.35">
      <c r="A79" s="1" t="s">
        <v>185</v>
      </c>
      <c r="B79" s="1" t="s">
        <v>186</v>
      </c>
      <c r="C79" s="1" t="s">
        <v>187</v>
      </c>
      <c r="D79" s="1" t="s">
        <v>181</v>
      </c>
      <c r="E79" s="1" t="s">
        <v>17</v>
      </c>
      <c r="F79" s="1"/>
      <c r="G79" s="1" t="b">
        <v>0</v>
      </c>
      <c r="H79" s="1" t="b">
        <v>0</v>
      </c>
      <c r="I79" s="1"/>
      <c r="J79" s="2"/>
      <c r="K79" s="17" t="b">
        <v>0</v>
      </c>
      <c r="L79" s="1"/>
      <c r="M79" s="1"/>
      <c r="N79" s="1"/>
      <c r="O79" s="1"/>
    </row>
    <row r="80" spans="1:15" ht="15.75" customHeight="1" x14ac:dyDescent="0.35">
      <c r="A80" s="1" t="s">
        <v>188</v>
      </c>
      <c r="B80" s="1" t="s">
        <v>189</v>
      </c>
      <c r="C80" s="1" t="s">
        <v>190</v>
      </c>
      <c r="D80" s="1" t="s">
        <v>181</v>
      </c>
      <c r="E80" s="1" t="s">
        <v>17</v>
      </c>
      <c r="F80" s="1"/>
      <c r="G80" s="1" t="b">
        <v>0</v>
      </c>
      <c r="H80" s="1" t="b">
        <v>0</v>
      </c>
      <c r="I80" s="1"/>
      <c r="J80" s="2"/>
      <c r="K80" s="17" t="b">
        <v>0</v>
      </c>
      <c r="L80" s="1"/>
      <c r="M80" s="1"/>
      <c r="N80" s="1"/>
      <c r="O80" s="1"/>
    </row>
    <row r="81" spans="1:15" ht="15.75" customHeight="1" x14ac:dyDescent="0.35">
      <c r="A81" s="3" t="s">
        <v>191</v>
      </c>
      <c r="B81" s="1" t="s">
        <v>192</v>
      </c>
      <c r="C81" s="1" t="s">
        <v>193</v>
      </c>
      <c r="D81" s="1" t="s">
        <v>181</v>
      </c>
      <c r="E81" s="1" t="s">
        <v>17</v>
      </c>
      <c r="F81" s="1"/>
      <c r="G81" s="1" t="b">
        <v>0</v>
      </c>
      <c r="H81" s="1" t="b">
        <v>0</v>
      </c>
      <c r="I81" s="3"/>
      <c r="J81" s="2"/>
      <c r="K81" s="17" t="b">
        <v>0</v>
      </c>
      <c r="L81" s="1"/>
      <c r="M81" s="1"/>
      <c r="N81" s="1"/>
      <c r="O81" s="1"/>
    </row>
    <row r="82" spans="1:15" ht="15.75" customHeight="1" x14ac:dyDescent="0.35">
      <c r="A82" s="3" t="s">
        <v>194</v>
      </c>
      <c r="B82" s="1" t="s">
        <v>195</v>
      </c>
      <c r="C82" s="1" t="s">
        <v>196</v>
      </c>
      <c r="D82" s="1" t="s">
        <v>181</v>
      </c>
      <c r="E82" s="1" t="s">
        <v>17</v>
      </c>
      <c r="F82" s="1"/>
      <c r="G82" s="1" t="b">
        <v>0</v>
      </c>
      <c r="H82" s="1" t="b">
        <v>0</v>
      </c>
      <c r="I82" s="3"/>
      <c r="J82" s="2"/>
      <c r="K82" s="17" t="b">
        <v>0</v>
      </c>
      <c r="L82" s="1"/>
      <c r="M82" s="1"/>
      <c r="N82" s="1"/>
      <c r="O82" s="1"/>
    </row>
    <row r="83" spans="1:15" ht="15.75" customHeight="1" x14ac:dyDescent="0.35">
      <c r="A83" s="1" t="s">
        <v>197</v>
      </c>
      <c r="B83" s="1" t="s">
        <v>198</v>
      </c>
      <c r="C83" s="1" t="s">
        <v>199</v>
      </c>
      <c r="D83" s="1" t="s">
        <v>181</v>
      </c>
      <c r="E83" s="1" t="s">
        <v>17</v>
      </c>
      <c r="F83" s="1"/>
      <c r="G83" s="1" t="b">
        <v>0</v>
      </c>
      <c r="H83" s="1" t="b">
        <v>0</v>
      </c>
      <c r="I83" s="1"/>
      <c r="J83" s="2"/>
      <c r="K83" s="17" t="b">
        <v>0</v>
      </c>
      <c r="L83" s="1"/>
      <c r="M83" s="1"/>
      <c r="N83" s="1"/>
      <c r="O83" s="1"/>
    </row>
    <row r="84" spans="1:15" ht="15.75" customHeight="1" x14ac:dyDescent="0.35">
      <c r="A84" s="2" t="s">
        <v>200</v>
      </c>
      <c r="B84" s="1" t="s">
        <v>201</v>
      </c>
      <c r="C84" s="1" t="s">
        <v>202</v>
      </c>
      <c r="D84" s="1" t="s">
        <v>181</v>
      </c>
      <c r="E84" s="1" t="s">
        <v>17</v>
      </c>
      <c r="F84" s="1"/>
      <c r="G84" s="1" t="b">
        <v>0</v>
      </c>
      <c r="H84" s="1" t="b">
        <v>0</v>
      </c>
      <c r="I84" s="2"/>
      <c r="J84" s="2"/>
      <c r="K84" s="17" t="b">
        <v>0</v>
      </c>
      <c r="L84" s="1"/>
      <c r="M84" s="1"/>
      <c r="N84" s="1"/>
      <c r="O84" s="1"/>
    </row>
    <row r="85" spans="1:15" ht="15.75" customHeight="1" x14ac:dyDescent="0.35">
      <c r="A85" s="1" t="s">
        <v>203</v>
      </c>
      <c r="B85" s="1" t="s">
        <v>204</v>
      </c>
      <c r="C85" s="1" t="s">
        <v>205</v>
      </c>
      <c r="D85" s="1" t="s">
        <v>181</v>
      </c>
      <c r="E85" s="1" t="s">
        <v>17</v>
      </c>
      <c r="F85" s="1"/>
      <c r="G85" s="1" t="b">
        <v>0</v>
      </c>
      <c r="H85" s="1" t="b">
        <v>0</v>
      </c>
      <c r="I85" s="1"/>
      <c r="J85" s="2"/>
      <c r="K85" s="17" t="b">
        <v>0</v>
      </c>
      <c r="L85" s="1"/>
      <c r="M85" s="1"/>
      <c r="N85" s="1"/>
      <c r="O85" s="1"/>
    </row>
    <row r="86" spans="1:15" ht="15.75" customHeight="1" x14ac:dyDescent="0.35">
      <c r="A86" s="1" t="s">
        <v>206</v>
      </c>
      <c r="B86" s="1" t="s">
        <v>207</v>
      </c>
      <c r="C86" s="1" t="s">
        <v>208</v>
      </c>
      <c r="D86" s="1" t="s">
        <v>181</v>
      </c>
      <c r="E86" s="1" t="s">
        <v>17</v>
      </c>
      <c r="F86" s="1"/>
      <c r="G86" s="1" t="b">
        <v>0</v>
      </c>
      <c r="H86" s="1" t="b">
        <v>0</v>
      </c>
      <c r="I86" s="1"/>
      <c r="J86" s="2"/>
      <c r="K86" s="17" t="b">
        <v>0</v>
      </c>
      <c r="L86" s="1"/>
      <c r="M86" s="1"/>
      <c r="N86" s="1"/>
      <c r="O86" s="1"/>
    </row>
    <row r="87" spans="1:15" ht="15.75" customHeight="1" x14ac:dyDescent="0.35">
      <c r="A87" s="1" t="s">
        <v>209</v>
      </c>
      <c r="B87" s="1" t="s">
        <v>210</v>
      </c>
      <c r="C87" s="1" t="s">
        <v>211</v>
      </c>
      <c r="D87" s="1" t="s">
        <v>181</v>
      </c>
      <c r="E87" s="1" t="s">
        <v>17</v>
      </c>
      <c r="F87" s="1"/>
      <c r="G87" s="1" t="b">
        <v>0</v>
      </c>
      <c r="H87" s="1" t="b">
        <v>0</v>
      </c>
      <c r="I87" s="1"/>
      <c r="J87" s="2"/>
      <c r="K87" s="17" t="b">
        <v>0</v>
      </c>
      <c r="L87" s="1"/>
      <c r="M87" s="1"/>
      <c r="N87" s="1"/>
      <c r="O87" s="1"/>
    </row>
    <row r="88" spans="1:15" ht="15.75" customHeight="1" x14ac:dyDescent="0.35">
      <c r="A88" s="1" t="s">
        <v>212</v>
      </c>
      <c r="B88" s="1" t="s">
        <v>213</v>
      </c>
      <c r="C88" s="1" t="s">
        <v>214</v>
      </c>
      <c r="D88" s="1" t="s">
        <v>181</v>
      </c>
      <c r="E88" s="1" t="s">
        <v>17</v>
      </c>
      <c r="F88" s="1"/>
      <c r="G88" s="1" t="b">
        <v>0</v>
      </c>
      <c r="H88" s="1" t="b">
        <v>0</v>
      </c>
      <c r="I88" s="1"/>
      <c r="J88" s="2"/>
      <c r="K88" s="17" t="b">
        <v>0</v>
      </c>
      <c r="L88" s="1"/>
      <c r="M88" s="1"/>
      <c r="N88" s="1"/>
      <c r="O88" s="1"/>
    </row>
    <row r="89" spans="1:15" ht="15.75" customHeight="1" x14ac:dyDescent="0.35">
      <c r="A89" s="1" t="s">
        <v>215</v>
      </c>
      <c r="B89" s="1" t="s">
        <v>216</v>
      </c>
      <c r="C89" s="1" t="s">
        <v>217</v>
      </c>
      <c r="D89" s="1" t="s">
        <v>181</v>
      </c>
      <c r="E89" s="1" t="s">
        <v>17</v>
      </c>
      <c r="F89" s="1"/>
      <c r="G89" s="1" t="b">
        <v>0</v>
      </c>
      <c r="H89" s="1" t="b">
        <v>0</v>
      </c>
      <c r="I89" s="1"/>
      <c r="J89" s="2"/>
      <c r="K89" s="17" t="b">
        <v>0</v>
      </c>
      <c r="L89" s="1"/>
      <c r="M89" s="1"/>
      <c r="N89" s="1"/>
      <c r="O89" s="1"/>
    </row>
    <row r="90" spans="1:15" ht="15.75" customHeight="1" x14ac:dyDescent="0.35">
      <c r="A90" s="1" t="s">
        <v>218</v>
      </c>
      <c r="B90" s="1" t="s">
        <v>219</v>
      </c>
      <c r="C90" s="1" t="s">
        <v>220</v>
      </c>
      <c r="D90" s="1" t="s">
        <v>181</v>
      </c>
      <c r="E90" s="1" t="s">
        <v>17</v>
      </c>
      <c r="F90" s="1"/>
      <c r="G90" s="1" t="b">
        <v>0</v>
      </c>
      <c r="H90" s="1" t="b">
        <v>0</v>
      </c>
      <c r="I90" s="1"/>
      <c r="J90" s="2"/>
      <c r="K90" s="17" t="b">
        <v>0</v>
      </c>
      <c r="L90" s="1"/>
      <c r="M90" s="1"/>
      <c r="N90" s="1"/>
      <c r="O90" s="1"/>
    </row>
    <row r="91" spans="1:15" ht="15.75" customHeight="1" x14ac:dyDescent="0.35">
      <c r="A91" s="1" t="s">
        <v>221</v>
      </c>
      <c r="B91" s="1" t="s">
        <v>222</v>
      </c>
      <c r="C91" s="1" t="s">
        <v>223</v>
      </c>
      <c r="D91" s="1" t="s">
        <v>224</v>
      </c>
      <c r="E91" s="1" t="s">
        <v>15</v>
      </c>
      <c r="F91" s="1"/>
      <c r="G91" s="1" t="b">
        <v>0</v>
      </c>
      <c r="H91" s="1" t="b">
        <v>0</v>
      </c>
      <c r="I91" s="1"/>
      <c r="J91" s="2"/>
      <c r="K91" s="17" t="b">
        <v>1</v>
      </c>
      <c r="L91" s="1"/>
      <c r="M91" s="1"/>
      <c r="N91" s="1"/>
      <c r="O91" s="1"/>
    </row>
    <row r="92" spans="1:15" ht="15.75" customHeight="1" x14ac:dyDescent="0.35">
      <c r="A92" s="1" t="s">
        <v>225</v>
      </c>
      <c r="B92" s="1" t="s">
        <v>226</v>
      </c>
      <c r="C92" s="1" t="s">
        <v>227</v>
      </c>
      <c r="D92" s="1" t="s">
        <v>224</v>
      </c>
      <c r="E92" s="1" t="s">
        <v>17</v>
      </c>
      <c r="F92" s="1"/>
      <c r="G92" s="1" t="b">
        <v>0</v>
      </c>
      <c r="H92" s="1" t="b">
        <v>0</v>
      </c>
      <c r="I92" s="1"/>
      <c r="J92" s="2"/>
      <c r="K92" s="17" t="b">
        <v>1</v>
      </c>
      <c r="L92" s="1"/>
      <c r="M92" s="1"/>
      <c r="N92" s="1"/>
      <c r="O92" s="1"/>
    </row>
    <row r="93" spans="1:15" ht="15.75" customHeight="1" x14ac:dyDescent="0.35">
      <c r="A93" s="1" t="s">
        <v>228</v>
      </c>
      <c r="B93" s="1" t="s">
        <v>229</v>
      </c>
      <c r="C93" s="1" t="s">
        <v>230</v>
      </c>
      <c r="D93" s="1" t="s">
        <v>224</v>
      </c>
      <c r="E93" s="1" t="s">
        <v>17</v>
      </c>
      <c r="F93" s="1"/>
      <c r="G93" s="1" t="b">
        <v>0</v>
      </c>
      <c r="H93" s="1" t="b">
        <v>0</v>
      </c>
      <c r="I93" s="1"/>
      <c r="J93" s="2"/>
      <c r="K93" s="17" t="b">
        <v>0</v>
      </c>
      <c r="L93" s="1"/>
      <c r="M93" s="1"/>
      <c r="N93" s="1"/>
      <c r="O93" s="1"/>
    </row>
    <row r="94" spans="1:15" ht="15.75" customHeight="1" x14ac:dyDescent="0.35">
      <c r="A94" s="9" t="s">
        <v>231</v>
      </c>
      <c r="B94" s="1" t="s">
        <v>232</v>
      </c>
      <c r="C94" s="1" t="s">
        <v>233</v>
      </c>
      <c r="D94" s="1" t="s">
        <v>224</v>
      </c>
      <c r="E94" s="1" t="s">
        <v>17</v>
      </c>
      <c r="F94" s="1"/>
      <c r="G94" s="1" t="b">
        <v>0</v>
      </c>
      <c r="H94" s="1" t="b">
        <v>0</v>
      </c>
      <c r="I94" s="1"/>
      <c r="J94" s="2"/>
      <c r="K94" s="17" t="b">
        <v>0</v>
      </c>
      <c r="L94" s="1"/>
      <c r="M94" s="1"/>
      <c r="N94" s="1"/>
      <c r="O94" s="1"/>
    </row>
    <row r="95" spans="1:15" ht="15.75" customHeight="1" x14ac:dyDescent="0.35">
      <c r="A95" s="1" t="s">
        <v>234</v>
      </c>
      <c r="B95" s="1" t="s">
        <v>235</v>
      </c>
      <c r="C95" s="1" t="s">
        <v>236</v>
      </c>
      <c r="D95" s="1" t="s">
        <v>224</v>
      </c>
      <c r="E95" s="1" t="s">
        <v>17</v>
      </c>
      <c r="F95" s="1"/>
      <c r="G95" s="1" t="b">
        <v>0</v>
      </c>
      <c r="H95" s="1" t="b">
        <v>0</v>
      </c>
      <c r="I95" s="1"/>
      <c r="J95" s="2"/>
      <c r="K95" s="17" t="b">
        <v>0</v>
      </c>
      <c r="L95" s="1"/>
      <c r="M95" s="1"/>
      <c r="N95" s="1"/>
      <c r="O95" s="1"/>
    </row>
    <row r="96" spans="1:15" ht="15.75" customHeight="1" x14ac:dyDescent="0.35">
      <c r="A96" s="1" t="s">
        <v>237</v>
      </c>
      <c r="B96" s="1" t="s">
        <v>238</v>
      </c>
      <c r="C96" s="1" t="s">
        <v>239</v>
      </c>
      <c r="D96" s="1" t="s">
        <v>224</v>
      </c>
      <c r="E96" s="1" t="s">
        <v>17</v>
      </c>
      <c r="F96" s="1"/>
      <c r="G96" s="1" t="b">
        <v>0</v>
      </c>
      <c r="H96" s="1" t="b">
        <v>0</v>
      </c>
      <c r="I96" s="1"/>
      <c r="J96" s="2"/>
      <c r="K96" s="17" t="b">
        <v>0</v>
      </c>
      <c r="L96" s="1"/>
      <c r="M96" s="1"/>
      <c r="N96" s="1"/>
      <c r="O96" s="1"/>
    </row>
    <row r="97" spans="1:15" ht="15.75" customHeight="1" x14ac:dyDescent="0.35">
      <c r="A97" s="1" t="s">
        <v>240</v>
      </c>
      <c r="B97" s="1" t="s">
        <v>241</v>
      </c>
      <c r="C97" s="1" t="s">
        <v>242</v>
      </c>
      <c r="D97" s="1" t="s">
        <v>224</v>
      </c>
      <c r="E97" s="1" t="s">
        <v>17</v>
      </c>
      <c r="F97" s="1"/>
      <c r="G97" s="1" t="b">
        <v>0</v>
      </c>
      <c r="H97" s="1" t="b">
        <v>0</v>
      </c>
      <c r="I97" s="1"/>
      <c r="J97" s="2"/>
      <c r="K97" s="17" t="b">
        <v>0</v>
      </c>
      <c r="L97" s="1"/>
      <c r="M97" s="1"/>
      <c r="N97" s="1"/>
      <c r="O97" s="1"/>
    </row>
    <row r="98" spans="1:15" ht="15.75" customHeight="1" x14ac:dyDescent="0.35">
      <c r="A98" s="1" t="s">
        <v>243</v>
      </c>
      <c r="B98" s="1" t="s">
        <v>244</v>
      </c>
      <c r="C98" s="1" t="s">
        <v>245</v>
      </c>
      <c r="D98" s="1" t="s">
        <v>224</v>
      </c>
      <c r="E98" s="1" t="s">
        <v>17</v>
      </c>
      <c r="F98" s="1"/>
      <c r="G98" s="1" t="b">
        <v>0</v>
      </c>
      <c r="H98" s="1" t="b">
        <v>0</v>
      </c>
      <c r="I98" s="1"/>
      <c r="J98" s="2"/>
      <c r="K98" s="17" t="b">
        <v>0</v>
      </c>
      <c r="L98" s="1"/>
      <c r="M98" s="1"/>
      <c r="N98" s="1"/>
      <c r="O98" s="1"/>
    </row>
    <row r="99" spans="1:15" ht="15.75" customHeight="1" x14ac:dyDescent="0.35">
      <c r="A99" s="1" t="s">
        <v>246</v>
      </c>
      <c r="B99" s="1" t="s">
        <v>247</v>
      </c>
      <c r="C99" s="1" t="s">
        <v>248</v>
      </c>
      <c r="D99" s="1" t="s">
        <v>224</v>
      </c>
      <c r="E99" s="1" t="s">
        <v>17</v>
      </c>
      <c r="F99" s="1"/>
      <c r="G99" s="1" t="b">
        <v>0</v>
      </c>
      <c r="H99" s="1" t="b">
        <v>0</v>
      </c>
      <c r="I99" s="1"/>
      <c r="J99" s="2"/>
      <c r="K99" s="17" t="b">
        <v>0</v>
      </c>
      <c r="L99" s="1"/>
      <c r="M99" s="1"/>
      <c r="N99" s="1"/>
      <c r="O99" s="1"/>
    </row>
    <row r="100" spans="1:15" ht="15.75" customHeight="1" x14ac:dyDescent="0.35">
      <c r="A100" s="10" t="s">
        <v>249</v>
      </c>
      <c r="B100" s="11" t="s">
        <v>250</v>
      </c>
      <c r="C100" s="10" t="s">
        <v>251</v>
      </c>
      <c r="D100" s="1" t="s">
        <v>224</v>
      </c>
      <c r="E100" s="1" t="s">
        <v>17</v>
      </c>
      <c r="F100" s="1"/>
      <c r="G100" s="1" t="b">
        <v>0</v>
      </c>
      <c r="H100" s="1" t="b">
        <v>0</v>
      </c>
      <c r="I100" s="1"/>
      <c r="J100" s="2"/>
      <c r="K100" s="17" t="b">
        <v>1</v>
      </c>
      <c r="L100" s="1"/>
      <c r="M100" s="1"/>
      <c r="N100" s="1"/>
      <c r="O100" s="1"/>
    </row>
    <row r="101" spans="1:15" ht="15.75" customHeight="1" x14ac:dyDescent="0.35">
      <c r="A101" s="10" t="s">
        <v>252</v>
      </c>
      <c r="B101" s="11" t="s">
        <v>253</v>
      </c>
      <c r="C101" s="10" t="s">
        <v>254</v>
      </c>
      <c r="D101" s="1" t="s">
        <v>224</v>
      </c>
      <c r="E101" s="1" t="s">
        <v>17</v>
      </c>
      <c r="F101" s="1"/>
      <c r="G101" s="1" t="b">
        <v>0</v>
      </c>
      <c r="H101" s="1" t="b">
        <v>0</v>
      </c>
      <c r="I101" s="1"/>
      <c r="J101" s="2"/>
      <c r="K101" s="17" t="b">
        <v>0</v>
      </c>
      <c r="L101" s="1"/>
      <c r="M101" s="1"/>
      <c r="N101" s="1"/>
      <c r="O101" s="1"/>
    </row>
    <row r="102" spans="1:15" ht="15.75" customHeight="1" x14ac:dyDescent="0.35">
      <c r="A102" s="1" t="s">
        <v>255</v>
      </c>
      <c r="B102" s="1" t="s">
        <v>256</v>
      </c>
      <c r="C102" s="1" t="s">
        <v>257</v>
      </c>
      <c r="D102" s="1" t="s">
        <v>224</v>
      </c>
      <c r="E102" s="1" t="s">
        <v>17</v>
      </c>
      <c r="F102" s="1"/>
      <c r="G102" s="1" t="b">
        <v>0</v>
      </c>
      <c r="H102" s="1" t="b">
        <v>0</v>
      </c>
      <c r="I102" s="1"/>
      <c r="J102" s="2"/>
      <c r="K102" s="17" t="b">
        <v>0</v>
      </c>
      <c r="L102" s="1"/>
      <c r="M102" s="1"/>
      <c r="N102" s="1"/>
      <c r="O102" s="1"/>
    </row>
    <row r="103" spans="1:15" ht="15.75" customHeight="1" x14ac:dyDescent="0.35">
      <c r="A103" s="1" t="s">
        <v>258</v>
      </c>
      <c r="B103" s="1" t="s">
        <v>259</v>
      </c>
      <c r="C103" s="1" t="s">
        <v>260</v>
      </c>
      <c r="D103" s="1" t="s">
        <v>224</v>
      </c>
      <c r="E103" s="1" t="s">
        <v>17</v>
      </c>
      <c r="F103" s="1"/>
      <c r="G103" s="1" t="b">
        <v>0</v>
      </c>
      <c r="H103" s="1" t="b">
        <v>0</v>
      </c>
      <c r="I103" s="1"/>
      <c r="J103" s="2"/>
      <c r="K103" s="17" t="b">
        <v>0</v>
      </c>
      <c r="L103" s="1"/>
      <c r="M103" s="1"/>
      <c r="N103" s="1"/>
      <c r="O103" s="1"/>
    </row>
    <row r="104" spans="1:15" ht="15.75" customHeight="1" x14ac:dyDescent="0.35">
      <c r="A104" s="1" t="s">
        <v>261</v>
      </c>
      <c r="B104" s="1" t="s">
        <v>262</v>
      </c>
      <c r="C104" s="1" t="s">
        <v>263</v>
      </c>
      <c r="D104" s="1" t="s">
        <v>224</v>
      </c>
      <c r="E104" s="1" t="s">
        <v>17</v>
      </c>
      <c r="F104" s="1"/>
      <c r="G104" s="1" t="b">
        <v>0</v>
      </c>
      <c r="H104" s="1" t="b">
        <v>0</v>
      </c>
      <c r="I104" s="1"/>
      <c r="J104" s="2"/>
      <c r="K104" s="17" t="b">
        <v>0</v>
      </c>
      <c r="L104" s="1"/>
      <c r="M104" s="1"/>
      <c r="N104" s="1"/>
      <c r="O104" s="1"/>
    </row>
    <row r="105" spans="1:15" ht="15.75" customHeight="1" x14ac:dyDescent="0.35">
      <c r="A105" s="1" t="s">
        <v>264</v>
      </c>
      <c r="B105" s="1" t="s">
        <v>265</v>
      </c>
      <c r="C105" s="1" t="s">
        <v>266</v>
      </c>
      <c r="D105" s="1" t="s">
        <v>224</v>
      </c>
      <c r="E105" s="1" t="s">
        <v>17</v>
      </c>
      <c r="F105" s="1"/>
      <c r="G105" s="1" t="b">
        <v>0</v>
      </c>
      <c r="H105" s="1" t="b">
        <v>0</v>
      </c>
      <c r="I105" s="1"/>
      <c r="J105" s="2"/>
      <c r="K105" s="17" t="b">
        <v>0</v>
      </c>
      <c r="L105" s="1"/>
      <c r="M105" s="1"/>
      <c r="N105" s="1"/>
      <c r="O105" s="1"/>
    </row>
    <row r="106" spans="1:15" ht="15.75" customHeight="1" x14ac:dyDescent="0.35">
      <c r="A106" s="1" t="s">
        <v>267</v>
      </c>
      <c r="B106" s="1" t="s">
        <v>268</v>
      </c>
      <c r="C106" s="1" t="s">
        <v>269</v>
      </c>
      <c r="D106" s="1" t="s">
        <v>270</v>
      </c>
      <c r="E106" s="1" t="s">
        <v>15</v>
      </c>
      <c r="F106" s="1"/>
      <c r="G106" s="1" t="b">
        <v>0</v>
      </c>
      <c r="H106" s="1" t="b">
        <v>0</v>
      </c>
      <c r="I106" s="1"/>
      <c r="J106" s="2"/>
      <c r="K106" s="17" t="b">
        <v>0</v>
      </c>
      <c r="L106" s="1"/>
      <c r="M106" s="1"/>
      <c r="N106" s="1"/>
      <c r="O106" s="1"/>
    </row>
    <row r="107" spans="1:15" ht="15.75" customHeight="1" x14ac:dyDescent="0.35">
      <c r="A107" s="1" t="s">
        <v>271</v>
      </c>
      <c r="B107" s="1" t="s">
        <v>272</v>
      </c>
      <c r="C107" s="1" t="s">
        <v>273</v>
      </c>
      <c r="D107" s="1" t="s">
        <v>270</v>
      </c>
      <c r="E107" s="1" t="s">
        <v>17</v>
      </c>
      <c r="F107" s="1" t="s">
        <v>274</v>
      </c>
      <c r="G107" s="1" t="b">
        <v>0</v>
      </c>
      <c r="H107" s="1" t="b">
        <v>0</v>
      </c>
      <c r="I107" s="1"/>
      <c r="J107" s="2"/>
      <c r="K107" s="17" t="b">
        <v>0</v>
      </c>
      <c r="L107" s="1"/>
      <c r="M107" s="1"/>
      <c r="N107" s="1"/>
      <c r="O107" s="1"/>
    </row>
    <row r="108" spans="1:15" ht="15.75" customHeight="1" x14ac:dyDescent="0.35">
      <c r="A108" s="1" t="s">
        <v>275</v>
      </c>
      <c r="B108" s="1" t="s">
        <v>276</v>
      </c>
      <c r="C108" s="1" t="s">
        <v>277</v>
      </c>
      <c r="D108" s="1" t="s">
        <v>270</v>
      </c>
      <c r="E108" s="1" t="s">
        <v>17</v>
      </c>
      <c r="F108" s="1" t="s">
        <v>274</v>
      </c>
      <c r="G108" s="1" t="b">
        <v>0</v>
      </c>
      <c r="H108" s="1" t="b">
        <v>0</v>
      </c>
      <c r="I108" s="1"/>
      <c r="J108" s="2"/>
      <c r="K108" s="17" t="b">
        <v>0</v>
      </c>
      <c r="L108" s="1"/>
      <c r="M108" s="1"/>
      <c r="N108" s="1"/>
      <c r="O108" s="1"/>
    </row>
    <row r="109" spans="1:15" ht="15.75" customHeight="1" x14ac:dyDescent="0.35">
      <c r="A109" s="1" t="s">
        <v>278</v>
      </c>
      <c r="B109" s="1" t="s">
        <v>279</v>
      </c>
      <c r="C109" s="1" t="s">
        <v>280</v>
      </c>
      <c r="D109" s="1" t="s">
        <v>270</v>
      </c>
      <c r="E109" s="1" t="s">
        <v>17</v>
      </c>
      <c r="F109" s="1"/>
      <c r="G109" s="1" t="b">
        <v>0</v>
      </c>
      <c r="H109" s="1" t="b">
        <v>0</v>
      </c>
      <c r="I109" s="1"/>
      <c r="J109" s="2"/>
      <c r="K109" s="17" t="b">
        <v>0</v>
      </c>
      <c r="L109" s="1"/>
      <c r="M109" s="1"/>
      <c r="N109" s="1"/>
      <c r="O109" s="1"/>
    </row>
    <row r="110" spans="1:15" ht="15.75" customHeight="1" x14ac:dyDescent="0.35">
      <c r="A110" s="1" t="s">
        <v>281</v>
      </c>
      <c r="B110" s="1" t="s">
        <v>282</v>
      </c>
      <c r="C110" s="1" t="s">
        <v>283</v>
      </c>
      <c r="D110" s="1" t="s">
        <v>270</v>
      </c>
      <c r="E110" s="1" t="s">
        <v>17</v>
      </c>
      <c r="F110" s="1"/>
      <c r="G110" s="1" t="b">
        <v>0</v>
      </c>
      <c r="H110" s="1" t="b">
        <v>0</v>
      </c>
      <c r="I110" s="1"/>
      <c r="J110" s="2"/>
      <c r="K110" s="17" t="b">
        <v>0</v>
      </c>
      <c r="L110" s="1"/>
      <c r="M110" s="1"/>
      <c r="N110" s="1"/>
      <c r="O110" s="1"/>
    </row>
    <row r="111" spans="1:15" ht="15.75" customHeight="1" x14ac:dyDescent="0.35">
      <c r="A111" s="10" t="s">
        <v>284</v>
      </c>
      <c r="B111" s="11" t="s">
        <v>285</v>
      </c>
      <c r="C111" s="1" t="s">
        <v>286</v>
      </c>
      <c r="D111" s="1" t="s">
        <v>287</v>
      </c>
      <c r="E111" s="1" t="s">
        <v>17</v>
      </c>
      <c r="F111" s="1"/>
      <c r="G111" s="1" t="b">
        <v>0</v>
      </c>
      <c r="H111" s="1" t="b">
        <v>1</v>
      </c>
      <c r="I111" s="1"/>
      <c r="J111" s="2"/>
      <c r="K111" s="17" t="b">
        <v>0</v>
      </c>
      <c r="L111" s="1"/>
      <c r="M111" s="1"/>
      <c r="N111" s="1"/>
      <c r="O111" s="1"/>
    </row>
    <row r="112" spans="1:15" ht="15.75" customHeight="1" x14ac:dyDescent="0.35">
      <c r="A112" s="1" t="s">
        <v>288</v>
      </c>
      <c r="B112" s="1" t="s">
        <v>289</v>
      </c>
      <c r="C112" s="1" t="s">
        <v>290</v>
      </c>
      <c r="D112" s="1" t="s">
        <v>287</v>
      </c>
      <c r="E112" s="1" t="s">
        <v>17</v>
      </c>
      <c r="F112" s="1"/>
      <c r="G112" s="1" t="b">
        <v>0</v>
      </c>
      <c r="H112" s="1" t="b">
        <v>1</v>
      </c>
      <c r="I112" s="1"/>
      <c r="J112" s="2"/>
      <c r="K112" s="17" t="b">
        <v>0</v>
      </c>
      <c r="L112" s="1"/>
      <c r="M112" s="1"/>
      <c r="N112" s="1"/>
      <c r="O112" s="1"/>
    </row>
    <row r="113" spans="1:15" ht="15.75" customHeight="1" x14ac:dyDescent="0.35">
      <c r="A113" s="10" t="s">
        <v>291</v>
      </c>
      <c r="B113" s="11" t="s">
        <v>292</v>
      </c>
      <c r="C113" s="10" t="s">
        <v>293</v>
      </c>
      <c r="D113" s="1" t="s">
        <v>287</v>
      </c>
      <c r="E113" s="1" t="s">
        <v>17</v>
      </c>
      <c r="F113" s="1"/>
      <c r="G113" s="1" t="b">
        <v>0</v>
      </c>
      <c r="H113" s="1" t="b">
        <v>1</v>
      </c>
      <c r="I113" s="1"/>
      <c r="J113" s="2"/>
      <c r="K113" s="17" t="b">
        <v>0</v>
      </c>
      <c r="L113" s="1"/>
      <c r="M113" s="1"/>
      <c r="N113" s="1"/>
      <c r="O113" s="1"/>
    </row>
    <row r="114" spans="1:15" ht="15.75" customHeight="1" x14ac:dyDescent="0.35">
      <c r="A114" s="1" t="s">
        <v>294</v>
      </c>
      <c r="B114" s="1" t="s">
        <v>295</v>
      </c>
      <c r="C114" s="1"/>
      <c r="D114" s="1" t="s">
        <v>287</v>
      </c>
      <c r="E114" s="1"/>
      <c r="F114" s="1"/>
      <c r="G114" s="1" t="b">
        <v>0</v>
      </c>
      <c r="H114" s="1" t="b">
        <v>1</v>
      </c>
      <c r="I114" s="1"/>
      <c r="J114" s="2"/>
      <c r="K114" s="17" t="b">
        <v>0</v>
      </c>
      <c r="L114" s="1"/>
      <c r="M114" s="1"/>
      <c r="N114" s="1"/>
      <c r="O114" s="1"/>
    </row>
    <row r="115" spans="1:15" ht="15.75" customHeight="1" x14ac:dyDescent="0.35">
      <c r="A115" s="1" t="s">
        <v>296</v>
      </c>
      <c r="B115" s="1" t="s">
        <v>297</v>
      </c>
      <c r="C115" s="1"/>
      <c r="D115" s="1" t="s">
        <v>287</v>
      </c>
      <c r="E115" s="1"/>
      <c r="F115" s="1"/>
      <c r="G115" s="1" t="b">
        <v>0</v>
      </c>
      <c r="H115" s="1" t="b">
        <v>1</v>
      </c>
      <c r="I115" s="1"/>
      <c r="J115" s="2"/>
      <c r="K115" s="17" t="b">
        <v>0</v>
      </c>
      <c r="L115" s="1"/>
      <c r="M115" s="1"/>
      <c r="N115" s="1"/>
      <c r="O115" s="1"/>
    </row>
    <row r="116" spans="1:15" ht="15.75" customHeight="1" x14ac:dyDescent="0.35">
      <c r="A116" s="2" t="s">
        <v>298</v>
      </c>
      <c r="B116" s="2" t="s">
        <v>299</v>
      </c>
      <c r="C116" s="12"/>
      <c r="D116" s="13" t="s">
        <v>287</v>
      </c>
      <c r="E116" s="12"/>
      <c r="F116" s="12"/>
      <c r="G116" s="14" t="b">
        <v>0</v>
      </c>
      <c r="H116" s="15" t="b">
        <v>1</v>
      </c>
      <c r="I116" s="12"/>
      <c r="J116" s="12"/>
      <c r="K116" s="22" t="b">
        <v>0</v>
      </c>
      <c r="L116" s="1"/>
      <c r="M116" s="1"/>
      <c r="N116" s="1"/>
      <c r="O116" s="1"/>
    </row>
    <row r="117" spans="1:15" ht="15.75" customHeight="1" x14ac:dyDescent="0.35">
      <c r="A117" s="2" t="s">
        <v>300</v>
      </c>
      <c r="B117" s="2" t="s">
        <v>301</v>
      </c>
      <c r="C117" s="12"/>
      <c r="D117" s="13" t="s">
        <v>287</v>
      </c>
      <c r="E117" s="12"/>
      <c r="F117" s="12"/>
      <c r="G117" s="14" t="b">
        <v>0</v>
      </c>
      <c r="H117" s="15" t="b">
        <v>1</v>
      </c>
      <c r="I117" s="12"/>
      <c r="J117" s="12"/>
      <c r="K117" s="22" t="b">
        <v>0</v>
      </c>
      <c r="L117" s="1"/>
      <c r="M117" s="1"/>
      <c r="N117" s="1"/>
      <c r="O117" s="1"/>
    </row>
    <row r="118" spans="1:15" ht="15.75" customHeight="1" x14ac:dyDescent="0.35">
      <c r="A118" s="1" t="s">
        <v>302</v>
      </c>
      <c r="B118" s="1" t="s">
        <v>303</v>
      </c>
      <c r="C118" s="1"/>
      <c r="D118" s="1" t="s">
        <v>287</v>
      </c>
      <c r="E118" s="1"/>
      <c r="F118" s="1"/>
      <c r="G118" s="1" t="b">
        <v>0</v>
      </c>
      <c r="H118" s="1" t="b">
        <v>1</v>
      </c>
      <c r="I118" s="1"/>
      <c r="J118" s="2"/>
      <c r="K118" s="17" t="b">
        <v>0</v>
      </c>
      <c r="L118" s="1"/>
      <c r="M118" s="1"/>
      <c r="N118" s="1"/>
      <c r="O118" s="1"/>
    </row>
    <row r="119" spans="1:15" ht="15.75" customHeight="1" x14ac:dyDescent="0.35">
      <c r="A119" s="1" t="s">
        <v>304</v>
      </c>
      <c r="B119" s="1" t="s">
        <v>305</v>
      </c>
      <c r="C119" s="1"/>
      <c r="D119" s="1" t="s">
        <v>287</v>
      </c>
      <c r="E119" s="1"/>
      <c r="F119" s="1"/>
      <c r="G119" s="1" t="b">
        <v>0</v>
      </c>
      <c r="H119" s="1" t="b">
        <v>1</v>
      </c>
      <c r="I119" s="1"/>
      <c r="J119" s="2"/>
      <c r="K119" s="17" t="b">
        <v>0</v>
      </c>
      <c r="L119" s="1"/>
      <c r="M119" s="1"/>
      <c r="N119" s="1"/>
      <c r="O119" s="1"/>
    </row>
    <row r="120" spans="1:15" ht="15.75" customHeight="1" x14ac:dyDescent="0.35">
      <c r="A120" s="1" t="s">
        <v>306</v>
      </c>
      <c r="B120" s="1" t="s">
        <v>307</v>
      </c>
      <c r="C120" s="1"/>
      <c r="D120" s="1" t="s">
        <v>287</v>
      </c>
      <c r="E120" s="1"/>
      <c r="F120" s="1"/>
      <c r="G120" s="1" t="b">
        <v>0</v>
      </c>
      <c r="H120" s="1" t="b">
        <v>1</v>
      </c>
      <c r="I120" s="1"/>
      <c r="J120" s="2"/>
      <c r="K120" s="17" t="b">
        <v>0</v>
      </c>
      <c r="L120" s="1"/>
      <c r="M120" s="1"/>
      <c r="N120" s="1"/>
      <c r="O120" s="1"/>
    </row>
    <row r="121" spans="1:15" ht="15.75" customHeight="1" x14ac:dyDescent="0.35">
      <c r="A121" s="1" t="s">
        <v>16</v>
      </c>
      <c r="B121" s="1" t="s">
        <v>308</v>
      </c>
      <c r="C121" s="1"/>
      <c r="D121" s="1" t="s">
        <v>287</v>
      </c>
      <c r="E121" s="1"/>
      <c r="F121" s="1"/>
      <c r="G121" s="1" t="b">
        <v>0</v>
      </c>
      <c r="H121" s="1" t="b">
        <v>1</v>
      </c>
      <c r="I121" s="1"/>
      <c r="J121" s="2"/>
      <c r="K121" s="17" t="b">
        <v>0</v>
      </c>
      <c r="L121" s="1"/>
      <c r="M121" s="1"/>
      <c r="N121" s="1"/>
      <c r="O121" s="1"/>
    </row>
    <row r="122" spans="1:15" ht="15.75" customHeight="1" x14ac:dyDescent="0.35">
      <c r="A122" s="1" t="s">
        <v>16</v>
      </c>
      <c r="B122" s="1" t="s">
        <v>309</v>
      </c>
      <c r="C122" s="1"/>
      <c r="D122" s="1" t="s">
        <v>287</v>
      </c>
      <c r="E122" s="1"/>
      <c r="F122" s="1"/>
      <c r="G122" s="1" t="b">
        <v>0</v>
      </c>
      <c r="H122" s="1" t="b">
        <v>1</v>
      </c>
      <c r="I122" s="1"/>
      <c r="J122" s="2"/>
      <c r="K122" s="17" t="b">
        <v>0</v>
      </c>
      <c r="L122" s="1"/>
      <c r="M122" s="1"/>
      <c r="N122" s="1"/>
      <c r="O122" s="1"/>
    </row>
    <row r="123" spans="1:15" ht="15.75" customHeight="1" x14ac:dyDescent="0.35">
      <c r="A123" s="1" t="s">
        <v>310</v>
      </c>
      <c r="B123" s="1" t="s">
        <v>311</v>
      </c>
      <c r="C123" s="1"/>
      <c r="D123" s="1" t="s">
        <v>287</v>
      </c>
      <c r="E123" s="1"/>
      <c r="F123" s="1"/>
      <c r="G123" s="1" t="b">
        <v>0</v>
      </c>
      <c r="H123" s="1" t="b">
        <v>1</v>
      </c>
      <c r="I123" s="1"/>
      <c r="J123" s="2"/>
      <c r="K123" s="17" t="b">
        <v>0</v>
      </c>
      <c r="L123" s="1"/>
      <c r="M123" s="1"/>
      <c r="N123" s="1"/>
      <c r="O123" s="1"/>
    </row>
    <row r="124" spans="1:15" ht="15.75" customHeight="1" x14ac:dyDescent="0.35">
      <c r="A124" s="1" t="s">
        <v>312</v>
      </c>
      <c r="B124" s="1" t="s">
        <v>313</v>
      </c>
      <c r="C124" s="1"/>
      <c r="D124" s="1" t="s">
        <v>287</v>
      </c>
      <c r="E124" s="1"/>
      <c r="F124" s="1"/>
      <c r="G124" s="1" t="b">
        <v>0</v>
      </c>
      <c r="H124" s="1" t="b">
        <v>1</v>
      </c>
      <c r="I124" s="1"/>
      <c r="J124" s="2"/>
      <c r="K124" s="17" t="b">
        <v>0</v>
      </c>
      <c r="L124" s="1"/>
      <c r="M124" s="1"/>
      <c r="N124" s="1"/>
      <c r="O124" s="1"/>
    </row>
    <row r="125" spans="1:15" ht="15.75" customHeight="1" x14ac:dyDescent="0.35">
      <c r="A125" s="1" t="s">
        <v>314</v>
      </c>
      <c r="B125" s="1" t="s">
        <v>315</v>
      </c>
      <c r="C125" s="1"/>
      <c r="D125" s="1" t="s">
        <v>287</v>
      </c>
      <c r="E125" s="1"/>
      <c r="F125" s="1"/>
      <c r="G125" s="1" t="b">
        <v>0</v>
      </c>
      <c r="H125" s="1" t="b">
        <v>1</v>
      </c>
      <c r="I125" s="1"/>
      <c r="J125" s="2"/>
      <c r="K125" s="17" t="b">
        <v>0</v>
      </c>
      <c r="L125" s="1"/>
      <c r="M125" s="1"/>
      <c r="N125" s="1"/>
      <c r="O125" s="1"/>
    </row>
    <row r="126" spans="1:15" ht="15.75" customHeight="1" x14ac:dyDescent="0.35">
      <c r="A126" s="3" t="s">
        <v>316</v>
      </c>
      <c r="B126" s="1" t="s">
        <v>317</v>
      </c>
      <c r="C126" s="1" t="s">
        <v>318</v>
      </c>
      <c r="D126" s="1" t="s">
        <v>287</v>
      </c>
      <c r="E126" s="1" t="s">
        <v>17</v>
      </c>
      <c r="F126" s="1" t="s">
        <v>319</v>
      </c>
      <c r="G126" s="1" t="b">
        <v>0</v>
      </c>
      <c r="H126" s="1" t="b">
        <v>1</v>
      </c>
      <c r="I126" s="3"/>
      <c r="J126" s="2"/>
      <c r="K126" s="17" t="b">
        <v>0</v>
      </c>
      <c r="L126" s="1"/>
      <c r="M126" s="1"/>
      <c r="N126" s="1"/>
      <c r="O126" s="1"/>
    </row>
    <row r="127" spans="1:15" ht="15.75" customHeight="1" x14ac:dyDescent="0.35">
      <c r="A127" s="3" t="s">
        <v>320</v>
      </c>
      <c r="B127" s="1" t="s">
        <v>321</v>
      </c>
      <c r="C127" s="1" t="s">
        <v>322</v>
      </c>
      <c r="D127" s="1" t="s">
        <v>287</v>
      </c>
      <c r="E127" s="1" t="s">
        <v>17</v>
      </c>
      <c r="F127" s="1" t="s">
        <v>319</v>
      </c>
      <c r="G127" s="1" t="b">
        <v>0</v>
      </c>
      <c r="H127" s="1" t="b">
        <v>1</v>
      </c>
      <c r="I127" s="3"/>
      <c r="J127" s="2"/>
      <c r="K127" s="17" t="b">
        <v>0</v>
      </c>
      <c r="L127" s="1"/>
      <c r="M127" s="1"/>
      <c r="N127" s="1"/>
      <c r="O127" s="1"/>
    </row>
    <row r="128" spans="1:15" ht="15.75" customHeight="1" x14ac:dyDescent="0.35">
      <c r="A128" s="3" t="s">
        <v>323</v>
      </c>
      <c r="B128" s="1" t="s">
        <v>324</v>
      </c>
      <c r="C128" s="1" t="s">
        <v>325</v>
      </c>
      <c r="D128" s="1" t="s">
        <v>287</v>
      </c>
      <c r="E128" s="1" t="s">
        <v>17</v>
      </c>
      <c r="F128" s="1" t="s">
        <v>319</v>
      </c>
      <c r="G128" s="1" t="b">
        <v>0</v>
      </c>
      <c r="H128" s="1" t="b">
        <v>1</v>
      </c>
      <c r="I128" s="3"/>
      <c r="J128" s="2"/>
      <c r="K128" s="17" t="b">
        <v>0</v>
      </c>
      <c r="L128" s="1"/>
      <c r="M128" s="1"/>
      <c r="N128" s="1"/>
      <c r="O128" s="1"/>
    </row>
    <row r="129" spans="1:15" ht="15.75" customHeight="1" x14ac:dyDescent="0.35">
      <c r="A129" s="16" t="s">
        <v>326</v>
      </c>
      <c r="B129" s="1" t="s">
        <v>327</v>
      </c>
      <c r="C129" s="1" t="s">
        <v>328</v>
      </c>
      <c r="D129" s="1" t="s">
        <v>287</v>
      </c>
      <c r="E129" s="1" t="s">
        <v>17</v>
      </c>
      <c r="F129" s="1" t="s">
        <v>319</v>
      </c>
      <c r="G129" s="1" t="b">
        <v>0</v>
      </c>
      <c r="H129" s="1" t="b">
        <v>1</v>
      </c>
      <c r="I129" s="3"/>
      <c r="J129" s="2"/>
      <c r="K129" s="17" t="b">
        <v>0</v>
      </c>
      <c r="L129" s="1"/>
      <c r="M129" s="1"/>
      <c r="N129" s="1"/>
      <c r="O129" s="1"/>
    </row>
    <row r="130" spans="1:15" ht="15.75" customHeight="1" x14ac:dyDescent="0.35">
      <c r="A130" s="3" t="s">
        <v>329</v>
      </c>
      <c r="B130" s="1" t="s">
        <v>330</v>
      </c>
      <c r="C130" s="1" t="s">
        <v>331</v>
      </c>
      <c r="D130" s="1" t="s">
        <v>287</v>
      </c>
      <c r="E130" s="1" t="s">
        <v>17</v>
      </c>
      <c r="F130" s="1" t="s">
        <v>319</v>
      </c>
      <c r="G130" s="1" t="b">
        <v>0</v>
      </c>
      <c r="H130" s="1" t="b">
        <v>1</v>
      </c>
      <c r="I130" s="3"/>
      <c r="J130" s="2"/>
      <c r="K130" s="17" t="b">
        <v>0</v>
      </c>
      <c r="L130" s="1"/>
      <c r="M130" s="1"/>
      <c r="N130" s="1"/>
      <c r="O130" s="1"/>
    </row>
    <row r="131" spans="1:15" ht="15.75" customHeight="1" x14ac:dyDescent="0.35">
      <c r="A131" s="3" t="s">
        <v>332</v>
      </c>
      <c r="B131" s="1" t="s">
        <v>333</v>
      </c>
      <c r="C131" s="1" t="s">
        <v>334</v>
      </c>
      <c r="D131" s="1" t="s">
        <v>287</v>
      </c>
      <c r="E131" s="1" t="s">
        <v>17</v>
      </c>
      <c r="F131" s="1"/>
      <c r="G131" s="1" t="b">
        <v>0</v>
      </c>
      <c r="H131" s="1" t="b">
        <v>1</v>
      </c>
      <c r="I131" s="3"/>
      <c r="J131" s="2"/>
      <c r="K131" s="17" t="b">
        <v>0</v>
      </c>
      <c r="L131" s="1"/>
      <c r="M131" s="1"/>
      <c r="N131" s="1"/>
      <c r="O131" s="1"/>
    </row>
    <row r="132" spans="1:15" ht="15.75" customHeight="1" x14ac:dyDescent="0.35">
      <c r="A132" s="1" t="s">
        <v>335</v>
      </c>
      <c r="B132" s="1" t="s">
        <v>336</v>
      </c>
      <c r="C132" s="1" t="s">
        <v>337</v>
      </c>
      <c r="D132" s="1" t="s">
        <v>287</v>
      </c>
      <c r="E132" s="1" t="s">
        <v>17</v>
      </c>
      <c r="F132" s="2" t="s">
        <v>335</v>
      </c>
      <c r="G132" s="1" t="b">
        <v>0</v>
      </c>
      <c r="H132" s="1" t="b">
        <v>1</v>
      </c>
      <c r="I132" s="1"/>
      <c r="J132" s="5"/>
      <c r="K132" s="17" t="b">
        <v>0</v>
      </c>
      <c r="L132" s="1"/>
      <c r="M132" s="1"/>
      <c r="N132" s="1"/>
      <c r="O132" s="1"/>
    </row>
    <row r="133" spans="1:15" ht="15.75" customHeight="1" x14ac:dyDescent="0.35">
      <c r="A133" s="2" t="s">
        <v>338</v>
      </c>
      <c r="B133" s="2" t="s">
        <v>339</v>
      </c>
      <c r="C133" s="2" t="s">
        <v>340</v>
      </c>
      <c r="D133" s="1" t="s">
        <v>287</v>
      </c>
      <c r="E133" s="1" t="s">
        <v>17</v>
      </c>
      <c r="F133" s="2" t="s">
        <v>335</v>
      </c>
      <c r="G133" s="1" t="b">
        <v>0</v>
      </c>
      <c r="H133" s="1" t="b">
        <v>1</v>
      </c>
      <c r="I133" s="2"/>
      <c r="J133" s="5"/>
      <c r="K133" s="21" t="b">
        <v>0</v>
      </c>
      <c r="L133" s="1"/>
      <c r="M133" s="1"/>
      <c r="N133" s="1"/>
      <c r="O133" s="1"/>
    </row>
    <row r="134" spans="1:15" ht="15.75" customHeight="1" x14ac:dyDescent="0.35">
      <c r="A134" s="1" t="s">
        <v>341</v>
      </c>
      <c r="B134" s="1" t="s">
        <v>342</v>
      </c>
      <c r="C134" s="1" t="s">
        <v>343</v>
      </c>
      <c r="D134" s="1" t="s">
        <v>287</v>
      </c>
      <c r="E134" s="1" t="s">
        <v>17</v>
      </c>
      <c r="F134" s="2" t="s">
        <v>335</v>
      </c>
      <c r="G134" s="1" t="b">
        <v>0</v>
      </c>
      <c r="H134" s="1" t="b">
        <v>1</v>
      </c>
      <c r="I134" s="1"/>
      <c r="J134" s="5"/>
      <c r="K134" s="17" t="b">
        <v>0</v>
      </c>
      <c r="L134" s="1"/>
      <c r="M134" s="1"/>
      <c r="N134" s="1"/>
      <c r="O134" s="1"/>
    </row>
    <row r="135" spans="1:15" ht="15.75" customHeight="1" x14ac:dyDescent="0.35">
      <c r="A135" s="1" t="s">
        <v>344</v>
      </c>
      <c r="B135" s="1" t="s">
        <v>345</v>
      </c>
      <c r="C135" s="1" t="s">
        <v>346</v>
      </c>
      <c r="D135" s="1" t="s">
        <v>287</v>
      </c>
      <c r="E135" s="1" t="s">
        <v>17</v>
      </c>
      <c r="F135" s="2" t="s">
        <v>335</v>
      </c>
      <c r="G135" s="1" t="b">
        <v>0</v>
      </c>
      <c r="H135" s="1" t="b">
        <v>1</v>
      </c>
      <c r="I135" s="1"/>
      <c r="J135" s="5"/>
      <c r="K135" s="17" t="b">
        <v>0</v>
      </c>
      <c r="L135" s="1"/>
      <c r="M135" s="1"/>
      <c r="N135" s="1"/>
      <c r="O135" s="1"/>
    </row>
    <row r="136" spans="1:15" ht="15.75" customHeight="1" x14ac:dyDescent="0.35">
      <c r="A136" s="3" t="s">
        <v>347</v>
      </c>
      <c r="B136" s="1" t="s">
        <v>348</v>
      </c>
      <c r="C136" s="1" t="s">
        <v>349</v>
      </c>
      <c r="D136" s="1" t="s">
        <v>287</v>
      </c>
      <c r="E136" s="1" t="s">
        <v>17</v>
      </c>
      <c r="F136" s="1" t="s">
        <v>350</v>
      </c>
      <c r="G136" s="1" t="b">
        <v>0</v>
      </c>
      <c r="H136" s="1" t="b">
        <v>1</v>
      </c>
      <c r="I136" s="3"/>
      <c r="J136" s="2"/>
      <c r="K136" s="17" t="b">
        <v>0</v>
      </c>
      <c r="L136" s="1"/>
      <c r="M136" s="1"/>
      <c r="N136" s="1"/>
      <c r="O136" s="1"/>
    </row>
    <row r="137" spans="1:15" ht="15.75" customHeight="1" x14ac:dyDescent="0.35">
      <c r="A137" s="3" t="s">
        <v>351</v>
      </c>
      <c r="B137" s="1" t="s">
        <v>352</v>
      </c>
      <c r="C137" s="1" t="s">
        <v>353</v>
      </c>
      <c r="D137" s="1" t="s">
        <v>287</v>
      </c>
      <c r="E137" s="1" t="s">
        <v>17</v>
      </c>
      <c r="F137" s="1" t="s">
        <v>350</v>
      </c>
      <c r="G137" s="1" t="b">
        <v>0</v>
      </c>
      <c r="H137" s="1" t="b">
        <v>1</v>
      </c>
      <c r="I137" s="3"/>
      <c r="J137" s="2"/>
      <c r="K137" s="17" t="b">
        <v>0</v>
      </c>
      <c r="L137" s="1"/>
      <c r="M137" s="1"/>
      <c r="N137" s="1"/>
      <c r="O137" s="1"/>
    </row>
    <row r="138" spans="1:15" ht="15.75" customHeight="1" x14ac:dyDescent="0.35">
      <c r="A138" s="1" t="s">
        <v>354</v>
      </c>
      <c r="B138" s="1" t="s">
        <v>355</v>
      </c>
      <c r="C138" s="1" t="s">
        <v>356</v>
      </c>
      <c r="D138" s="1" t="s">
        <v>287</v>
      </c>
      <c r="E138" s="1" t="s">
        <v>17</v>
      </c>
      <c r="F138" s="1"/>
      <c r="G138" s="1" t="b">
        <v>0</v>
      </c>
      <c r="H138" s="1" t="b">
        <v>1</v>
      </c>
      <c r="I138" s="1"/>
      <c r="J138" s="2"/>
      <c r="K138" s="17" t="b">
        <v>0</v>
      </c>
      <c r="L138" s="1"/>
      <c r="M138" s="1"/>
      <c r="N138" s="1"/>
      <c r="O138" s="1"/>
    </row>
    <row r="139" spans="1:15" ht="15.75" customHeight="1" x14ac:dyDescent="0.35">
      <c r="A139" s="1" t="s">
        <v>357</v>
      </c>
      <c r="B139" s="1" t="s">
        <v>358</v>
      </c>
      <c r="C139" s="1" t="s">
        <v>359</v>
      </c>
      <c r="D139" s="1" t="s">
        <v>287</v>
      </c>
      <c r="E139" s="1"/>
      <c r="F139" s="1"/>
      <c r="G139" s="1" t="b">
        <v>1</v>
      </c>
      <c r="H139" s="1" t="b">
        <v>0</v>
      </c>
      <c r="I139" s="1"/>
      <c r="J139" s="2"/>
      <c r="K139" s="17" t="b">
        <v>0</v>
      </c>
      <c r="L139" s="1"/>
      <c r="M139" s="1"/>
      <c r="N139" s="1"/>
      <c r="O139" s="1"/>
    </row>
    <row r="140" spans="1:15" ht="15.75" customHeight="1" x14ac:dyDescent="0.35">
      <c r="A140" s="3" t="s">
        <v>360</v>
      </c>
      <c r="B140" s="1" t="s">
        <v>361</v>
      </c>
      <c r="C140" s="1"/>
      <c r="D140" s="1" t="s">
        <v>287</v>
      </c>
      <c r="E140" s="1"/>
      <c r="F140" s="1"/>
      <c r="G140" s="1" t="b">
        <v>1</v>
      </c>
      <c r="H140" s="1" t="b">
        <v>0</v>
      </c>
      <c r="I140" s="3"/>
      <c r="J140" s="2"/>
      <c r="K140" s="17" t="b">
        <v>0</v>
      </c>
      <c r="L140" s="1"/>
      <c r="M140" s="1"/>
      <c r="N140" s="1"/>
      <c r="O140" s="1"/>
    </row>
    <row r="141" spans="1:15" ht="15.75" customHeight="1" x14ac:dyDescent="0.35">
      <c r="A141" s="1" t="s">
        <v>362</v>
      </c>
      <c r="B141" s="1" t="s">
        <v>363</v>
      </c>
      <c r="C141" s="2"/>
      <c r="D141" s="1" t="s">
        <v>287</v>
      </c>
      <c r="E141" s="1"/>
      <c r="F141" s="1"/>
      <c r="G141" s="1" t="b">
        <v>1</v>
      </c>
      <c r="H141" s="1" t="b">
        <v>0</v>
      </c>
      <c r="I141" s="1"/>
      <c r="J141" s="2"/>
      <c r="K141" s="17" t="b">
        <v>0</v>
      </c>
      <c r="L141" s="1"/>
      <c r="M141" s="1"/>
      <c r="N141" s="1"/>
      <c r="O141" s="1"/>
    </row>
    <row r="142" spans="1:15" ht="15.75" customHeight="1" x14ac:dyDescent="0.35">
      <c r="A142" s="1" t="s">
        <v>364</v>
      </c>
      <c r="B142" s="1" t="s">
        <v>365</v>
      </c>
      <c r="C142" s="2"/>
      <c r="D142" s="1" t="s">
        <v>287</v>
      </c>
      <c r="E142" s="1"/>
      <c r="F142" s="1"/>
      <c r="G142" s="1" t="b">
        <v>1</v>
      </c>
      <c r="H142" s="1" t="b">
        <v>0</v>
      </c>
      <c r="I142" s="1"/>
      <c r="J142" s="2"/>
      <c r="K142" s="17" t="b">
        <v>0</v>
      </c>
      <c r="L142" s="1"/>
      <c r="M142" s="1"/>
      <c r="N142" s="1"/>
      <c r="O142" s="1"/>
    </row>
    <row r="143" spans="1:15" ht="15.75" customHeight="1" x14ac:dyDescent="0.35">
      <c r="A143" s="1" t="s">
        <v>366</v>
      </c>
      <c r="B143" s="1" t="s">
        <v>367</v>
      </c>
      <c r="C143" s="1" t="s">
        <v>368</v>
      </c>
      <c r="D143" s="1" t="s">
        <v>287</v>
      </c>
      <c r="E143" s="1"/>
      <c r="F143" s="1"/>
      <c r="G143" s="1" t="b">
        <v>1</v>
      </c>
      <c r="H143" s="1" t="b">
        <v>0</v>
      </c>
      <c r="I143" s="1"/>
      <c r="J143" s="2"/>
      <c r="K143" s="17" t="b">
        <v>0</v>
      </c>
      <c r="L143" s="1"/>
      <c r="M143" s="1"/>
      <c r="N143" s="1"/>
      <c r="O143" s="1"/>
    </row>
    <row r="144" spans="1:15" ht="15.75" customHeight="1" x14ac:dyDescent="0.35">
      <c r="A144" s="24" t="s">
        <v>462</v>
      </c>
      <c r="B144" s="24" t="s">
        <v>463</v>
      </c>
      <c r="C144" s="24" t="s">
        <v>462</v>
      </c>
      <c r="D144" s="24" t="s">
        <v>460</v>
      </c>
      <c r="E144" s="1" t="s">
        <v>15</v>
      </c>
      <c r="F144" s="1"/>
      <c r="G144" s="1" t="b">
        <v>0</v>
      </c>
      <c r="H144" s="1" t="b">
        <v>0</v>
      </c>
      <c r="I144" s="1"/>
      <c r="J144" s="2"/>
      <c r="K144" s="17" t="b">
        <v>0</v>
      </c>
      <c r="L144" s="23" t="s">
        <v>455</v>
      </c>
      <c r="M144" s="23" t="s">
        <v>456</v>
      </c>
      <c r="N144" s="23"/>
      <c r="O144" s="23"/>
    </row>
    <row r="145" spans="1:15" ht="15.75" customHeight="1" x14ac:dyDescent="0.35">
      <c r="A145" s="24" t="s">
        <v>461</v>
      </c>
      <c r="B145" s="24" t="s">
        <v>470</v>
      </c>
      <c r="C145" s="24" t="s">
        <v>461</v>
      </c>
      <c r="D145" s="24" t="s">
        <v>460</v>
      </c>
      <c r="E145" s="1" t="s">
        <v>15</v>
      </c>
      <c r="F145" s="1"/>
      <c r="G145" s="1" t="b">
        <v>0</v>
      </c>
      <c r="H145" s="1" t="b">
        <v>0</v>
      </c>
      <c r="I145" s="1"/>
      <c r="J145" s="2"/>
      <c r="K145" s="17" t="b">
        <v>0</v>
      </c>
      <c r="L145" s="23" t="s">
        <v>455</v>
      </c>
      <c r="M145" s="23" t="s">
        <v>456</v>
      </c>
      <c r="N145" s="23"/>
      <c r="O145" s="23"/>
    </row>
    <row r="146" spans="1:15" ht="15.75" customHeight="1" x14ac:dyDescent="0.35">
      <c r="A146" s="24" t="s">
        <v>464</v>
      </c>
      <c r="B146" s="24" t="s">
        <v>465</v>
      </c>
      <c r="C146" s="24" t="s">
        <v>461</v>
      </c>
      <c r="D146" s="24" t="s">
        <v>466</v>
      </c>
      <c r="E146" s="1" t="s">
        <v>15</v>
      </c>
      <c r="F146" s="1"/>
      <c r="G146" s="1" t="b">
        <v>0</v>
      </c>
      <c r="H146" s="1" t="b">
        <v>0</v>
      </c>
      <c r="I146" s="1"/>
      <c r="J146" s="2"/>
      <c r="K146" s="17" t="b">
        <v>0</v>
      </c>
      <c r="L146" s="23" t="s">
        <v>455</v>
      </c>
      <c r="M146" s="23" t="s">
        <v>456</v>
      </c>
      <c r="N146" s="23"/>
      <c r="O146" s="23"/>
    </row>
    <row r="147" spans="1:15" ht="15.75" customHeight="1" x14ac:dyDescent="0.35">
      <c r="A147" s="24" t="s">
        <v>467</v>
      </c>
      <c r="B147" s="24" t="s">
        <v>468</v>
      </c>
      <c r="C147" s="24" t="s">
        <v>461</v>
      </c>
      <c r="D147" s="24" t="s">
        <v>469</v>
      </c>
      <c r="E147" s="1" t="s">
        <v>15</v>
      </c>
      <c r="F147" s="1"/>
      <c r="G147" s="1" t="b">
        <v>0</v>
      </c>
      <c r="H147" s="1" t="b">
        <v>0</v>
      </c>
      <c r="I147" s="1"/>
      <c r="J147" s="2"/>
      <c r="K147" s="17" t="b">
        <v>0</v>
      </c>
      <c r="L147" s="23" t="s">
        <v>455</v>
      </c>
      <c r="M147" s="23" t="s">
        <v>456</v>
      </c>
      <c r="N147" s="23"/>
      <c r="O147" s="23"/>
    </row>
  </sheetData>
  <customSheetViews>
    <customSheetView guid="{268A1621-21C3-44E3-A6D6-DD54E8D7B9D5}" filter="1" showAutoFilter="1">
      <pageMargins left="0.7" right="0.7" top="0.75" bottom="0.75" header="0.3" footer="0.3"/>
      <autoFilter ref="G1:G345"/>
      <extLst>
        <ext uri="GoogleSheetsCustomDataVersion1">
          <go:sheetsCustomData xmlns:go="http://customooxmlschemas.google.com/" filterViewId="1987598463"/>
        </ext>
      </extLst>
    </customSheetView>
  </customSheetViews>
  <conditionalFormatting sqref="G2:H145">
    <cfRule type="cellIs" dxfId="55" priority="25" operator="equal">
      <formula>"TRUE"</formula>
    </cfRule>
  </conditionalFormatting>
  <conditionalFormatting sqref="D1 D27:D145">
    <cfRule type="cellIs" dxfId="54" priority="26" operator="equal">
      <formula>"Панели инструментов"</formula>
    </cfRule>
  </conditionalFormatting>
  <conditionalFormatting sqref="D1 D27:D145">
    <cfRule type="cellIs" dxfId="53" priority="27" operator="equal">
      <formula>"Оформление"</formula>
    </cfRule>
  </conditionalFormatting>
  <conditionalFormatting sqref="D1 D27:D145">
    <cfRule type="cellIs" dxfId="52" priority="28" operator="equal">
      <formula>"Преобразование"</formula>
    </cfRule>
  </conditionalFormatting>
  <conditionalFormatting sqref="D1 D27:D145">
    <cfRule type="cellIs" dxfId="51" priority="29" operator="equal">
      <formula>"Работа с полилинией"</formula>
    </cfRule>
  </conditionalFormatting>
  <conditionalFormatting sqref="D1 D27:D145">
    <cfRule type="cellIs" dxfId="50" priority="30" operator="equal">
      <formula>"Геодезия и маркшейдерия"</formula>
    </cfRule>
  </conditionalFormatting>
  <conditionalFormatting sqref="D1 D27:D145">
    <cfRule type="cellIs" dxfId="49" priority="31" operator="equal">
      <formula>"Инфо"</formula>
    </cfRule>
  </conditionalFormatting>
  <conditionalFormatting sqref="D1 D27:D145">
    <cfRule type="cellIs" dxfId="48" priority="32" operator="equal">
      <formula>"Скрытые команды"</formula>
    </cfRule>
  </conditionalFormatting>
  <conditionalFormatting sqref="D1 D27:D145">
    <cfRule type="cellIs" dxfId="47" priority="33" operator="equal">
      <formula>"Точки и блоки"</formula>
    </cfRule>
  </conditionalFormatting>
  <conditionalFormatting sqref="D1 D27:D145">
    <cfRule type="cellIs" dxfId="46" priority="34" operator="equal">
      <formula>"Текст и атрибуты"</formula>
    </cfRule>
  </conditionalFormatting>
  <conditionalFormatting sqref="D1 D27:D145">
    <cfRule type="cellIs" dxfId="45" priority="36" operator="equal">
      <formula>"Выбор и очистка"</formula>
    </cfRule>
  </conditionalFormatting>
  <conditionalFormatting sqref="D1 D27:D145">
    <cfRule type="cellIs" dxfId="44" priority="37" operator="equal">
      <formula>"Растры"</formula>
    </cfRule>
  </conditionalFormatting>
  <conditionalFormatting sqref="G146:H146">
    <cfRule type="cellIs" dxfId="43" priority="13" operator="equal">
      <formula>"TRUE"</formula>
    </cfRule>
  </conditionalFormatting>
  <conditionalFormatting sqref="D146">
    <cfRule type="cellIs" dxfId="42" priority="14" operator="equal">
      <formula>"Панели инструментов"</formula>
    </cfRule>
  </conditionalFormatting>
  <conditionalFormatting sqref="D146">
    <cfRule type="cellIs" dxfId="41" priority="15" operator="equal">
      <formula>"Оформление"</formula>
    </cfRule>
  </conditionalFormatting>
  <conditionalFormatting sqref="D146">
    <cfRule type="cellIs" dxfId="40" priority="16" operator="equal">
      <formula>"Преобразование"</formula>
    </cfRule>
  </conditionalFormatting>
  <conditionalFormatting sqref="D146">
    <cfRule type="cellIs" dxfId="39" priority="17" operator="equal">
      <formula>"Работа с полилинией"</formula>
    </cfRule>
  </conditionalFormatting>
  <conditionalFormatting sqref="D146">
    <cfRule type="cellIs" dxfId="38" priority="18" operator="equal">
      <formula>"Геодезия и маркшейдерия"</formula>
    </cfRule>
  </conditionalFormatting>
  <conditionalFormatting sqref="D146">
    <cfRule type="cellIs" dxfId="37" priority="19" operator="equal">
      <formula>"Инфо"</formula>
    </cfRule>
  </conditionalFormatting>
  <conditionalFormatting sqref="D146">
    <cfRule type="cellIs" dxfId="36" priority="20" operator="equal">
      <formula>"Скрытые команды"</formula>
    </cfRule>
  </conditionalFormatting>
  <conditionalFormatting sqref="D146">
    <cfRule type="cellIs" dxfId="35" priority="21" operator="equal">
      <formula>"Точки и блоки"</formula>
    </cfRule>
  </conditionalFormatting>
  <conditionalFormatting sqref="D146">
    <cfRule type="cellIs" dxfId="34" priority="22" operator="equal">
      <formula>"Текст и атрибуты"</formula>
    </cfRule>
  </conditionalFormatting>
  <conditionalFormatting sqref="D146">
    <cfRule type="cellIs" dxfId="33" priority="23" operator="equal">
      <formula>"Выбор и очистка"</formula>
    </cfRule>
  </conditionalFormatting>
  <conditionalFormatting sqref="D146">
    <cfRule type="cellIs" dxfId="32" priority="24" operator="equal">
      <formula>"Растры"</formula>
    </cfRule>
  </conditionalFormatting>
  <conditionalFormatting sqref="G147:H147">
    <cfRule type="cellIs" dxfId="31" priority="1" operator="equal">
      <formula>"TRUE"</formula>
    </cfRule>
  </conditionalFormatting>
  <conditionalFormatting sqref="D147">
    <cfRule type="cellIs" dxfId="30" priority="2" operator="equal">
      <formula>"Панели инструментов"</formula>
    </cfRule>
  </conditionalFormatting>
  <conditionalFormatting sqref="D147">
    <cfRule type="cellIs" dxfId="29" priority="3" operator="equal">
      <formula>"Оформление"</formula>
    </cfRule>
  </conditionalFormatting>
  <conditionalFormatting sqref="D147">
    <cfRule type="cellIs" dxfId="28" priority="4" operator="equal">
      <formula>"Преобразование"</formula>
    </cfRule>
  </conditionalFormatting>
  <conditionalFormatting sqref="D147">
    <cfRule type="cellIs" dxfId="27" priority="5" operator="equal">
      <formula>"Работа с полилинией"</formula>
    </cfRule>
  </conditionalFormatting>
  <conditionalFormatting sqref="D147">
    <cfRule type="cellIs" dxfId="26" priority="6" operator="equal">
      <formula>"Геодезия и маркшейдерия"</formula>
    </cfRule>
  </conditionalFormatting>
  <conditionalFormatting sqref="D147">
    <cfRule type="cellIs" dxfId="25" priority="7" operator="equal">
      <formula>"Инфо"</formula>
    </cfRule>
  </conditionalFormatting>
  <conditionalFormatting sqref="D147">
    <cfRule type="cellIs" dxfId="24" priority="8" operator="equal">
      <formula>"Скрытые команды"</formula>
    </cfRule>
  </conditionalFormatting>
  <conditionalFormatting sqref="D147">
    <cfRule type="cellIs" dxfId="23" priority="9" operator="equal">
      <formula>"Точки и блоки"</formula>
    </cfRule>
  </conditionalFormatting>
  <conditionalFormatting sqref="D147">
    <cfRule type="cellIs" dxfId="22" priority="10" operator="equal">
      <formula>"Текст и атрибуты"</formula>
    </cfRule>
  </conditionalFormatting>
  <conditionalFormatting sqref="D147">
    <cfRule type="cellIs" dxfId="21" priority="11" operator="equal">
      <formula>"Выбор и очистка"</formula>
    </cfRule>
  </conditionalFormatting>
  <conditionalFormatting sqref="D147">
    <cfRule type="cellIs" dxfId="20" priority="12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C3:F21"/>
  <sheetViews>
    <sheetView workbookViewId="0">
      <selection activeCell="C29" sqref="C29"/>
    </sheetView>
  </sheetViews>
  <sheetFormatPr defaultRowHeight="12.75" x14ac:dyDescent="0.35"/>
  <cols>
    <col min="3" max="3" width="24.73046875" bestFit="1" customWidth="1"/>
  </cols>
  <sheetData>
    <row r="3" spans="3:6" x14ac:dyDescent="0.35">
      <c r="C3" t="s">
        <v>551</v>
      </c>
      <c r="D3" t="s">
        <v>535</v>
      </c>
      <c r="E3">
        <v>0</v>
      </c>
      <c r="F3" t="s">
        <v>568</v>
      </c>
    </row>
    <row r="4" spans="3:6" x14ac:dyDescent="0.35">
      <c r="C4" t="s">
        <v>552</v>
      </c>
      <c r="D4" t="s">
        <v>535</v>
      </c>
      <c r="E4">
        <v>1</v>
      </c>
      <c r="F4" t="s">
        <v>568</v>
      </c>
    </row>
    <row r="5" spans="3:6" x14ac:dyDescent="0.35">
      <c r="C5" t="s">
        <v>553</v>
      </c>
      <c r="D5" t="s">
        <v>535</v>
      </c>
      <c r="E5">
        <v>2</v>
      </c>
      <c r="F5" t="s">
        <v>568</v>
      </c>
    </row>
    <row r="6" spans="3:6" x14ac:dyDescent="0.35">
      <c r="C6" t="s">
        <v>554</v>
      </c>
      <c r="D6" t="s">
        <v>535</v>
      </c>
      <c r="E6">
        <v>3</v>
      </c>
      <c r="F6" t="s">
        <v>568</v>
      </c>
    </row>
    <row r="7" spans="3:6" x14ac:dyDescent="0.35">
      <c r="C7" t="s">
        <v>555</v>
      </c>
      <c r="D7" t="s">
        <v>535</v>
      </c>
      <c r="E7">
        <v>4</v>
      </c>
      <c r="F7" t="s">
        <v>568</v>
      </c>
    </row>
    <row r="8" spans="3:6" x14ac:dyDescent="0.35">
      <c r="C8" t="s">
        <v>556</v>
      </c>
      <c r="D8" t="s">
        <v>535</v>
      </c>
      <c r="E8">
        <v>5</v>
      </c>
      <c r="F8" t="s">
        <v>568</v>
      </c>
    </row>
    <row r="9" spans="3:6" x14ac:dyDescent="0.35">
      <c r="C9" t="s">
        <v>557</v>
      </c>
      <c r="D9" t="s">
        <v>535</v>
      </c>
      <c r="E9">
        <v>6</v>
      </c>
      <c r="F9" t="s">
        <v>568</v>
      </c>
    </row>
    <row r="10" spans="3:6" x14ac:dyDescent="0.35">
      <c r="C10" t="s">
        <v>571</v>
      </c>
      <c r="D10" t="s">
        <v>535</v>
      </c>
      <c r="E10">
        <v>7</v>
      </c>
      <c r="F10" t="s">
        <v>568</v>
      </c>
    </row>
    <row r="11" spans="3:6" x14ac:dyDescent="0.35">
      <c r="C11" t="s">
        <v>558</v>
      </c>
      <c r="D11" t="s">
        <v>535</v>
      </c>
      <c r="E11">
        <v>8</v>
      </c>
      <c r="F11" t="s">
        <v>568</v>
      </c>
    </row>
    <row r="12" spans="3:6" x14ac:dyDescent="0.35">
      <c r="C12" t="s">
        <v>559</v>
      </c>
      <c r="D12" t="s">
        <v>535</v>
      </c>
      <c r="E12">
        <v>9</v>
      </c>
      <c r="F12" t="s">
        <v>568</v>
      </c>
    </row>
    <row r="13" spans="3:6" x14ac:dyDescent="0.35">
      <c r="C13" t="s">
        <v>560</v>
      </c>
      <c r="D13" t="s">
        <v>535</v>
      </c>
      <c r="E13">
        <v>10</v>
      </c>
      <c r="F13" t="s">
        <v>568</v>
      </c>
    </row>
    <row r="14" spans="3:6" x14ac:dyDescent="0.35">
      <c r="C14" t="s">
        <v>570</v>
      </c>
      <c r="D14" t="s">
        <v>535</v>
      </c>
      <c r="E14">
        <v>11</v>
      </c>
      <c r="F14" t="s">
        <v>568</v>
      </c>
    </row>
    <row r="15" spans="3:6" x14ac:dyDescent="0.35">
      <c r="C15" t="s">
        <v>561</v>
      </c>
      <c r="D15" t="s">
        <v>535</v>
      </c>
      <c r="E15">
        <v>12</v>
      </c>
      <c r="F15" t="s">
        <v>568</v>
      </c>
    </row>
    <row r="16" spans="3:6" x14ac:dyDescent="0.35">
      <c r="C16" t="s">
        <v>562</v>
      </c>
      <c r="D16" t="s">
        <v>535</v>
      </c>
      <c r="E16">
        <v>13</v>
      </c>
      <c r="F16" t="s">
        <v>568</v>
      </c>
    </row>
    <row r="17" spans="3:6" x14ac:dyDescent="0.35">
      <c r="C17" t="s">
        <v>563</v>
      </c>
      <c r="D17" t="s">
        <v>535</v>
      </c>
      <c r="E17">
        <v>14</v>
      </c>
      <c r="F17" t="s">
        <v>568</v>
      </c>
    </row>
    <row r="18" spans="3:6" x14ac:dyDescent="0.35">
      <c r="C18" t="s">
        <v>564</v>
      </c>
      <c r="D18" t="s">
        <v>535</v>
      </c>
      <c r="E18">
        <v>15</v>
      </c>
      <c r="F18" t="s">
        <v>568</v>
      </c>
    </row>
    <row r="19" spans="3:6" x14ac:dyDescent="0.35">
      <c r="C19" t="s">
        <v>565</v>
      </c>
      <c r="D19" t="s">
        <v>535</v>
      </c>
      <c r="E19">
        <v>16</v>
      </c>
      <c r="F19" t="s">
        <v>568</v>
      </c>
    </row>
    <row r="20" spans="3:6" x14ac:dyDescent="0.35">
      <c r="C20" t="s">
        <v>566</v>
      </c>
      <c r="D20" t="s">
        <v>535</v>
      </c>
      <c r="E20">
        <v>17</v>
      </c>
      <c r="F20" t="s">
        <v>568</v>
      </c>
    </row>
    <row r="21" spans="3:6" x14ac:dyDescent="0.35">
      <c r="C21" t="s">
        <v>567</v>
      </c>
      <c r="D21" t="s">
        <v>535</v>
      </c>
      <c r="E21">
        <v>18</v>
      </c>
      <c r="F21" t="s">
        <v>568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20"/>
  <sheetViews>
    <sheetView workbookViewId="0">
      <selection activeCell="E34" sqref="E34"/>
    </sheetView>
  </sheetViews>
  <sheetFormatPr defaultRowHeight="12.75" x14ac:dyDescent="0.35"/>
  <cols>
    <col min="1" max="1" width="7.73046875" bestFit="1" customWidth="1"/>
    <col min="2" max="2" width="7.73046875" customWidth="1"/>
    <col min="3" max="3" width="35.1328125" bestFit="1" customWidth="1"/>
    <col min="4" max="5" width="35.1328125" customWidth="1"/>
    <col min="6" max="6" width="2.1328125" bestFit="1" customWidth="1"/>
    <col min="7" max="8" width="22.3984375" customWidth="1"/>
    <col min="9" max="9" width="33.3984375" customWidth="1"/>
    <col min="10" max="10" width="1.59765625" bestFit="1" customWidth="1"/>
    <col min="11" max="11" width="12.3984375" bestFit="1" customWidth="1"/>
    <col min="13" max="13" width="55" bestFit="1" customWidth="1"/>
  </cols>
  <sheetData>
    <row r="1" spans="1:14" x14ac:dyDescent="0.35">
      <c r="A1" t="s">
        <v>495</v>
      </c>
      <c r="B1" t="s">
        <v>515</v>
      </c>
      <c r="C1" t="s">
        <v>524</v>
      </c>
      <c r="D1" t="s">
        <v>535</v>
      </c>
      <c r="F1" t="s">
        <v>518</v>
      </c>
      <c r="G1" t="s">
        <v>496</v>
      </c>
      <c r="H1" t="s">
        <v>515</v>
      </c>
      <c r="I1" t="s">
        <v>497</v>
      </c>
      <c r="J1" t="s">
        <v>515</v>
      </c>
      <c r="K1" t="s">
        <v>522</v>
      </c>
      <c r="L1" t="s">
        <v>515</v>
      </c>
      <c r="M1" t="s">
        <v>516</v>
      </c>
      <c r="N1" t="s">
        <v>523</v>
      </c>
    </row>
    <row r="2" spans="1:14" x14ac:dyDescent="0.35">
      <c r="A2" t="s">
        <v>495</v>
      </c>
      <c r="B2" t="s">
        <v>515</v>
      </c>
      <c r="C2" t="s">
        <v>525</v>
      </c>
      <c r="D2" t="s">
        <v>535</v>
      </c>
      <c r="F2" t="s">
        <v>518</v>
      </c>
      <c r="G2" t="s">
        <v>496</v>
      </c>
      <c r="H2" t="s">
        <v>515</v>
      </c>
      <c r="I2" t="s">
        <v>498</v>
      </c>
      <c r="J2" t="s">
        <v>515</v>
      </c>
      <c r="K2" t="s">
        <v>522</v>
      </c>
      <c r="L2" t="s">
        <v>515</v>
      </c>
      <c r="M2" t="s">
        <v>516</v>
      </c>
      <c r="N2" t="s">
        <v>523</v>
      </c>
    </row>
    <row r="3" spans="1:14" x14ac:dyDescent="0.35">
      <c r="A3" t="s">
        <v>495</v>
      </c>
      <c r="B3" t="s">
        <v>515</v>
      </c>
      <c r="C3" t="s">
        <v>526</v>
      </c>
      <c r="D3" t="s">
        <v>535</v>
      </c>
      <c r="F3" t="s">
        <v>518</v>
      </c>
      <c r="G3" t="s">
        <v>496</v>
      </c>
      <c r="H3" t="s">
        <v>515</v>
      </c>
      <c r="I3" t="s">
        <v>499</v>
      </c>
      <c r="J3" t="s">
        <v>515</v>
      </c>
      <c r="K3" t="s">
        <v>522</v>
      </c>
      <c r="L3" t="s">
        <v>515</v>
      </c>
      <c r="M3" t="s">
        <v>516</v>
      </c>
      <c r="N3" t="s">
        <v>523</v>
      </c>
    </row>
    <row r="4" spans="1:14" x14ac:dyDescent="0.35">
      <c r="A4" t="s">
        <v>495</v>
      </c>
      <c r="B4" t="s">
        <v>515</v>
      </c>
      <c r="C4" t="s">
        <v>487</v>
      </c>
      <c r="D4" t="s">
        <v>535</v>
      </c>
      <c r="F4" t="s">
        <v>518</v>
      </c>
      <c r="G4" t="s">
        <v>496</v>
      </c>
      <c r="H4" t="s">
        <v>515</v>
      </c>
      <c r="I4" t="s">
        <v>500</v>
      </c>
      <c r="J4" t="s">
        <v>515</v>
      </c>
      <c r="K4" t="s">
        <v>522</v>
      </c>
      <c r="L4" t="s">
        <v>515</v>
      </c>
      <c r="M4" t="s">
        <v>516</v>
      </c>
      <c r="N4" t="s">
        <v>523</v>
      </c>
    </row>
    <row r="5" spans="1:14" x14ac:dyDescent="0.35">
      <c r="A5" t="s">
        <v>495</v>
      </c>
      <c r="B5" t="s">
        <v>515</v>
      </c>
      <c r="C5" t="s">
        <v>486</v>
      </c>
      <c r="D5" t="s">
        <v>535</v>
      </c>
      <c r="F5" t="s">
        <v>518</v>
      </c>
      <c r="G5" t="s">
        <v>496</v>
      </c>
      <c r="H5" t="s">
        <v>515</v>
      </c>
      <c r="I5" t="s">
        <v>501</v>
      </c>
      <c r="J5" t="s">
        <v>515</v>
      </c>
      <c r="K5" t="s">
        <v>522</v>
      </c>
      <c r="L5" t="s">
        <v>515</v>
      </c>
      <c r="M5" t="s">
        <v>516</v>
      </c>
      <c r="N5" t="s">
        <v>523</v>
      </c>
    </row>
    <row r="6" spans="1:14" x14ac:dyDescent="0.35">
      <c r="A6" t="s">
        <v>495</v>
      </c>
      <c r="B6" t="s">
        <v>515</v>
      </c>
      <c r="C6" t="s">
        <v>527</v>
      </c>
      <c r="D6" t="s">
        <v>535</v>
      </c>
      <c r="F6" t="s">
        <v>518</v>
      </c>
      <c r="G6" t="s">
        <v>496</v>
      </c>
      <c r="H6" t="s">
        <v>515</v>
      </c>
      <c r="I6" t="s">
        <v>502</v>
      </c>
      <c r="J6" t="s">
        <v>515</v>
      </c>
      <c r="K6" t="s">
        <v>522</v>
      </c>
      <c r="L6" t="s">
        <v>515</v>
      </c>
      <c r="M6" t="s">
        <v>516</v>
      </c>
      <c r="N6" t="s">
        <v>523</v>
      </c>
    </row>
    <row r="7" spans="1:14" x14ac:dyDescent="0.35">
      <c r="A7" t="s">
        <v>495</v>
      </c>
      <c r="B7" t="s">
        <v>515</v>
      </c>
      <c r="C7" t="s">
        <v>485</v>
      </c>
      <c r="D7" t="s">
        <v>535</v>
      </c>
      <c r="F7" t="s">
        <v>518</v>
      </c>
      <c r="G7" t="s">
        <v>496</v>
      </c>
      <c r="H7" t="s">
        <v>515</v>
      </c>
      <c r="I7" t="s">
        <v>503</v>
      </c>
      <c r="J7" t="s">
        <v>515</v>
      </c>
      <c r="K7" t="s">
        <v>522</v>
      </c>
      <c r="L7" t="s">
        <v>515</v>
      </c>
      <c r="M7" t="s">
        <v>516</v>
      </c>
      <c r="N7" t="s">
        <v>523</v>
      </c>
    </row>
    <row r="8" spans="1:14" x14ac:dyDescent="0.35">
      <c r="A8" t="s">
        <v>495</v>
      </c>
      <c r="B8" t="s">
        <v>515</v>
      </c>
      <c r="C8" t="s">
        <v>528</v>
      </c>
      <c r="D8" t="s">
        <v>535</v>
      </c>
      <c r="F8" t="s">
        <v>518</v>
      </c>
      <c r="G8" t="s">
        <v>496</v>
      </c>
      <c r="H8" t="s">
        <v>515</v>
      </c>
      <c r="I8" t="s">
        <v>504</v>
      </c>
      <c r="J8" t="s">
        <v>515</v>
      </c>
      <c r="K8" t="s">
        <v>522</v>
      </c>
      <c r="L8" t="s">
        <v>515</v>
      </c>
      <c r="M8" t="s">
        <v>516</v>
      </c>
      <c r="N8" t="s">
        <v>523</v>
      </c>
    </row>
    <row r="9" spans="1:14" x14ac:dyDescent="0.35">
      <c r="A9" t="s">
        <v>495</v>
      </c>
      <c r="B9" t="s">
        <v>515</v>
      </c>
      <c r="C9" t="s">
        <v>488</v>
      </c>
      <c r="D9" t="s">
        <v>535</v>
      </c>
      <c r="F9" t="s">
        <v>518</v>
      </c>
      <c r="G9" t="s">
        <v>496</v>
      </c>
      <c r="H9" t="s">
        <v>515</v>
      </c>
      <c r="I9" t="s">
        <v>505</v>
      </c>
      <c r="J9" t="s">
        <v>515</v>
      </c>
      <c r="K9" t="s">
        <v>522</v>
      </c>
      <c r="L9" t="s">
        <v>515</v>
      </c>
      <c r="M9" t="s">
        <v>516</v>
      </c>
      <c r="N9" t="s">
        <v>523</v>
      </c>
    </row>
    <row r="10" spans="1:14" x14ac:dyDescent="0.35">
      <c r="A10" t="s">
        <v>495</v>
      </c>
      <c r="B10" t="s">
        <v>515</v>
      </c>
      <c r="C10" t="s">
        <v>529</v>
      </c>
      <c r="D10" t="s">
        <v>535</v>
      </c>
      <c r="F10" t="s">
        <v>518</v>
      </c>
      <c r="G10" t="s">
        <v>496</v>
      </c>
      <c r="H10" t="s">
        <v>515</v>
      </c>
      <c r="I10" t="s">
        <v>508</v>
      </c>
      <c r="J10" t="s">
        <v>515</v>
      </c>
      <c r="K10" t="s">
        <v>522</v>
      </c>
      <c r="L10" t="s">
        <v>515</v>
      </c>
      <c r="M10" t="s">
        <v>516</v>
      </c>
      <c r="N10" t="s">
        <v>523</v>
      </c>
    </row>
    <row r="11" spans="1:14" x14ac:dyDescent="0.35">
      <c r="A11" t="s">
        <v>495</v>
      </c>
      <c r="B11" t="s">
        <v>515</v>
      </c>
      <c r="C11" t="s">
        <v>474</v>
      </c>
      <c r="D11" t="s">
        <v>535</v>
      </c>
      <c r="F11" t="s">
        <v>518</v>
      </c>
      <c r="G11" t="s">
        <v>496</v>
      </c>
      <c r="H11" t="s">
        <v>515</v>
      </c>
      <c r="I11" t="s">
        <v>509</v>
      </c>
      <c r="J11" t="s">
        <v>515</v>
      </c>
      <c r="K11" t="s">
        <v>522</v>
      </c>
      <c r="L11" t="s">
        <v>515</v>
      </c>
      <c r="M11" t="s">
        <v>516</v>
      </c>
      <c r="N11" t="s">
        <v>523</v>
      </c>
    </row>
    <row r="12" spans="1:14" x14ac:dyDescent="0.35">
      <c r="A12" t="s">
        <v>495</v>
      </c>
      <c r="B12" t="s">
        <v>515</v>
      </c>
      <c r="C12" t="s">
        <v>475</v>
      </c>
      <c r="D12" t="s">
        <v>535</v>
      </c>
      <c r="F12" t="s">
        <v>518</v>
      </c>
      <c r="G12" t="s">
        <v>496</v>
      </c>
      <c r="H12" t="s">
        <v>515</v>
      </c>
      <c r="I12" t="s">
        <v>510</v>
      </c>
      <c r="J12" t="s">
        <v>515</v>
      </c>
      <c r="K12" t="s">
        <v>522</v>
      </c>
      <c r="L12" t="s">
        <v>515</v>
      </c>
      <c r="M12" t="s">
        <v>516</v>
      </c>
      <c r="N12" t="s">
        <v>523</v>
      </c>
    </row>
    <row r="13" spans="1:14" x14ac:dyDescent="0.35">
      <c r="A13" t="s">
        <v>495</v>
      </c>
      <c r="B13" t="s">
        <v>515</v>
      </c>
      <c r="C13" t="s">
        <v>489</v>
      </c>
      <c r="D13" t="s">
        <v>535</v>
      </c>
      <c r="F13" t="s">
        <v>518</v>
      </c>
      <c r="G13" t="s">
        <v>496</v>
      </c>
      <c r="H13" t="s">
        <v>515</v>
      </c>
      <c r="I13" t="s">
        <v>513</v>
      </c>
      <c r="J13" t="s">
        <v>515</v>
      </c>
      <c r="K13" t="s">
        <v>522</v>
      </c>
      <c r="L13" t="s">
        <v>515</v>
      </c>
      <c r="M13" t="s">
        <v>516</v>
      </c>
      <c r="N13" t="s">
        <v>523</v>
      </c>
    </row>
    <row r="14" spans="1:14" x14ac:dyDescent="0.35">
      <c r="A14" t="s">
        <v>495</v>
      </c>
      <c r="B14" t="s">
        <v>515</v>
      </c>
      <c r="C14" t="s">
        <v>530</v>
      </c>
      <c r="D14" t="s">
        <v>535</v>
      </c>
      <c r="F14" t="s">
        <v>518</v>
      </c>
      <c r="G14" t="s">
        <v>496</v>
      </c>
      <c r="H14" t="s">
        <v>515</v>
      </c>
      <c r="I14" t="s">
        <v>514</v>
      </c>
      <c r="J14" t="s">
        <v>515</v>
      </c>
      <c r="K14" t="s">
        <v>522</v>
      </c>
      <c r="L14" t="s">
        <v>515</v>
      </c>
      <c r="M14" t="s">
        <v>516</v>
      </c>
      <c r="N14" t="s">
        <v>523</v>
      </c>
    </row>
    <row r="16" spans="1:14" x14ac:dyDescent="0.35">
      <c r="A16" t="s">
        <v>495</v>
      </c>
      <c r="B16" t="s">
        <v>515</v>
      </c>
      <c r="C16" t="s">
        <v>531</v>
      </c>
      <c r="D16" t="s">
        <v>535</v>
      </c>
      <c r="F16" t="s">
        <v>518</v>
      </c>
      <c r="G16" t="s">
        <v>496</v>
      </c>
      <c r="H16" t="s">
        <v>515</v>
      </c>
      <c r="I16" t="s">
        <v>506</v>
      </c>
      <c r="J16" t="s">
        <v>515</v>
      </c>
      <c r="K16" t="s">
        <v>522</v>
      </c>
      <c r="L16" t="s">
        <v>515</v>
      </c>
      <c r="M16" t="s">
        <v>517</v>
      </c>
      <c r="N16" t="s">
        <v>523</v>
      </c>
    </row>
    <row r="17" spans="1:14" x14ac:dyDescent="0.35">
      <c r="A17" t="s">
        <v>495</v>
      </c>
      <c r="B17" t="s">
        <v>515</v>
      </c>
      <c r="C17" t="s">
        <v>532</v>
      </c>
      <c r="D17" t="s">
        <v>535</v>
      </c>
      <c r="F17" t="s">
        <v>518</v>
      </c>
      <c r="G17" t="s">
        <v>496</v>
      </c>
      <c r="H17" t="s">
        <v>515</v>
      </c>
      <c r="I17" t="s">
        <v>507</v>
      </c>
      <c r="J17" t="s">
        <v>515</v>
      </c>
      <c r="K17" t="s">
        <v>522</v>
      </c>
      <c r="L17" t="s">
        <v>515</v>
      </c>
      <c r="M17" t="s">
        <v>517</v>
      </c>
      <c r="N17" t="s">
        <v>523</v>
      </c>
    </row>
    <row r="19" spans="1:14" x14ac:dyDescent="0.35">
      <c r="A19" t="s">
        <v>495</v>
      </c>
      <c r="B19" t="s">
        <v>515</v>
      </c>
      <c r="C19" t="s">
        <v>533</v>
      </c>
      <c r="D19" t="s">
        <v>535</v>
      </c>
      <c r="E19" t="s">
        <v>519</v>
      </c>
      <c r="F19" t="s">
        <v>518</v>
      </c>
      <c r="G19" t="s">
        <v>496</v>
      </c>
      <c r="H19" t="s">
        <v>515</v>
      </c>
      <c r="I19" t="s">
        <v>511</v>
      </c>
      <c r="J19" t="s">
        <v>515</v>
      </c>
      <c r="K19" t="s">
        <v>522</v>
      </c>
      <c r="L19" t="s">
        <v>520</v>
      </c>
      <c r="N19" t="s">
        <v>523</v>
      </c>
    </row>
    <row r="20" spans="1:14" x14ac:dyDescent="0.35">
      <c r="A20" t="s">
        <v>495</v>
      </c>
      <c r="B20" t="s">
        <v>515</v>
      </c>
      <c r="C20" t="s">
        <v>534</v>
      </c>
      <c r="D20" t="s">
        <v>535</v>
      </c>
      <c r="E20" t="s">
        <v>519</v>
      </c>
      <c r="F20" t="s">
        <v>518</v>
      </c>
      <c r="G20" t="s">
        <v>496</v>
      </c>
      <c r="H20" t="s">
        <v>515</v>
      </c>
      <c r="I20" t="s">
        <v>512</v>
      </c>
      <c r="J20" t="s">
        <v>515</v>
      </c>
      <c r="K20" t="s">
        <v>522</v>
      </c>
      <c r="L20" t="s">
        <v>521</v>
      </c>
      <c r="N20" t="s">
        <v>523</v>
      </c>
    </row>
  </sheetData>
  <conditionalFormatting sqref="A20:Z20 C1:C19 C21:C50">
    <cfRule type="expression" dxfId="0" priority="1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Надстройки</vt:lpstr>
      <vt:lpstr>Надстройки (2)</vt:lpstr>
      <vt:lpstr>Надстройки_bak</vt:lpstr>
      <vt:lpstr>Enum</vt:lpstr>
      <vt:lpstr>Команды</vt:lpstr>
      <vt:lpstr>Обязательные</vt:lpstr>
      <vt:lpstr>Необязательные</vt:lpstr>
      <vt:lpstr>BlockFix+TBS</vt:lpstr>
      <vt:lpstr>ColumnNumbers</vt:lpstr>
      <vt:lpstr>cmd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Разыграев Андрей Алексеевич</dc:creator>
  <cp:lastModifiedBy>Боровой Олег Петрович</cp:lastModifiedBy>
  <dcterms:created xsi:type="dcterms:W3CDTF">2025-07-08T07:37:53Z</dcterms:created>
  <dcterms:modified xsi:type="dcterms:W3CDTF">2026-09-22T04:50:36Z</dcterms:modified>
</cp:coreProperties>
</file>